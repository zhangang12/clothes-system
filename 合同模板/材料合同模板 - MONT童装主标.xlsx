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/>
  </bookViews>
  <sheets>
    <sheet name="主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<sst xmlns="http://schemas.openxmlformats.org/spreadsheetml/2006/main" count="98" uniqueCount="77">
  <si>
    <t>南京达泰服装有限公司</t>
  </si>
  <si>
    <t>原料/辅料购销协议</t>
  </si>
  <si>
    <t>合同编号：25MNAKIDSA03</t>
  </si>
  <si>
    <t>签约地点：南京市江宁区将军大道6号J6软件创意园C-101室</t>
  </si>
  <si>
    <t xml:space="preserve"> </t>
  </si>
  <si>
    <t xml:space="preserve">甲方（供方）：张家港金利织带有限公司
</t>
  </si>
  <si>
    <t>住所地：张家港市张扬公路市区段</t>
  </si>
  <si>
    <t>代表人：赵洪刚</t>
  </si>
  <si>
    <t>电话：13905142330             传真：0512-58989905</t>
  </si>
  <si>
    <t>邮箱：jlzdwlh@126.com</t>
  </si>
  <si>
    <t>乙方（需方）：南京达泰服装有限公司</t>
  </si>
  <si>
    <t>住所地：南京市江宁区将军大道6号J6软件创意园C栋101</t>
  </si>
  <si>
    <t>法定代表人：沈云华</t>
  </si>
  <si>
    <t>电话：025-87193950           传真：025-87193960</t>
  </si>
  <si>
    <t>邮箱：aihua@datex.cn</t>
  </si>
  <si>
    <t>丙方（担保方）（个人）：</t>
  </si>
  <si>
    <t>住所地：                               身份证号：</t>
  </si>
  <si>
    <t>邮箱：                                 电话：</t>
  </si>
  <si>
    <t>甲、乙、丙三方经友好协商，就乙方购买吊牌货物，订立以下条款，以资共同遵守。</t>
  </si>
  <si>
    <t>第一条  货物</t>
  </si>
  <si>
    <t>品名</t>
  </si>
  <si>
    <t>编号</t>
  </si>
  <si>
    <t>单位</t>
  </si>
  <si>
    <t>数量</t>
  </si>
  <si>
    <t>单价(元/个）</t>
  </si>
  <si>
    <t>小计（元）</t>
  </si>
  <si>
    <t>款号</t>
  </si>
  <si>
    <t>交货期限</t>
  </si>
  <si>
    <t>主标</t>
  </si>
  <si>
    <t>S2P339-1</t>
  </si>
  <si>
    <t>个</t>
  </si>
  <si>
    <t>MNA263B500</t>
  </si>
  <si>
    <t>尺码</t>
  </si>
  <si>
    <t>S2P338</t>
  </si>
  <si>
    <t>MNA263B507</t>
  </si>
  <si>
    <t>MNA263B508</t>
  </si>
  <si>
    <t>请适当放损耗,请注意区分尺码，大货样8码20个</t>
  </si>
  <si>
    <t>MNA263B500款数量搭配</t>
  </si>
  <si>
    <t>合计</t>
  </si>
  <si>
    <t>MNA263B507数量搭配</t>
  </si>
  <si>
    <t>4</t>
  </si>
  <si>
    <t>6</t>
  </si>
  <si>
    <t>8</t>
  </si>
  <si>
    <t>10</t>
  </si>
  <si>
    <t>12</t>
  </si>
  <si>
    <t>14</t>
  </si>
  <si>
    <t>MNA263B508款数量搭配</t>
  </si>
  <si>
    <t>第二条  质量标准</t>
  </si>
  <si>
    <r>
      <rPr>
        <sz val="10.5"/>
        <rFont val="华文细黑"/>
        <charset val="134"/>
      </rPr>
      <t xml:space="preserve">1、颜色： </t>
    </r>
    <r>
      <rPr>
        <u/>
        <sz val="10.5"/>
        <rFont val="华文细黑"/>
        <charset val="134"/>
      </rPr>
      <t>同大货前确认样品</t>
    </r>
  </si>
  <si>
    <r>
      <rPr>
        <sz val="10.5"/>
        <rFont val="华文细黑"/>
        <charset val="134"/>
      </rPr>
      <t xml:space="preserve">2、成份： </t>
    </r>
    <r>
      <rPr>
        <u/>
        <sz val="10.5"/>
        <rFont val="华文细黑"/>
        <charset val="134"/>
      </rPr>
      <t xml:space="preserve">同大货前确认样品                                                           </t>
    </r>
  </si>
  <si>
    <r>
      <rPr>
        <sz val="10.5"/>
        <rFont val="华文细黑"/>
        <charset val="134"/>
      </rPr>
      <t>3、缩水率：</t>
    </r>
    <r>
      <rPr>
        <u/>
        <sz val="10.5"/>
        <rFont val="华文细黑"/>
        <charset val="134"/>
      </rPr>
      <t xml:space="preserve">同大货前确认样品                                                          </t>
    </r>
  </si>
  <si>
    <r>
      <rPr>
        <sz val="10.5"/>
        <rFont val="华文细黑"/>
        <charset val="134"/>
      </rPr>
      <t xml:space="preserve">4、其他（指国家标准或特别要求的标准指标或质量标准文件）： </t>
    </r>
    <r>
      <rPr>
        <u/>
        <sz val="10.5"/>
        <rFont val="华文细黑"/>
        <charset val="134"/>
      </rPr>
      <t xml:space="preserve">注意印字内容同确认电脑稿    </t>
    </r>
  </si>
  <si>
    <r>
      <rPr>
        <sz val="10.5"/>
        <rFont val="华文细黑"/>
        <charset val="134"/>
      </rPr>
      <t>甲方应在交货前，将符合上述质量标准的货物提交</t>
    </r>
    <r>
      <rPr>
        <u/>
        <sz val="10.5"/>
        <rFont val="华文细黑"/>
        <charset val="134"/>
      </rPr>
      <t>_5_</t>
    </r>
    <r>
      <rPr>
        <sz val="10.5"/>
        <rFont val="华文细黑"/>
        <charset val="134"/>
      </rPr>
      <t>_份样品给乙方，并由双方签字封存。</t>
    </r>
  </si>
  <si>
    <t>第三条  交货方式</t>
  </si>
  <si>
    <r>
      <rPr>
        <sz val="10.5"/>
        <rFont val="华文细黑"/>
        <charset val="134"/>
      </rPr>
      <t xml:space="preserve">ü </t>
    </r>
    <r>
      <rPr>
        <sz val="10.5"/>
        <rFont val="华文细黑"/>
        <charset val="134"/>
      </rPr>
      <t>由甲方运送至乙方指定的地点</t>
    </r>
    <r>
      <rPr>
        <u/>
        <sz val="10.5"/>
        <color indexed="10"/>
        <rFont val="华文细黑"/>
        <charset val="134"/>
      </rPr>
      <t>工厂待定</t>
    </r>
    <r>
      <rPr>
        <sz val="10.5"/>
        <rFont val="华文细黑"/>
        <charset val="134"/>
      </rPr>
      <t>，并由乙方指定的</t>
    </r>
    <r>
      <rPr>
        <u/>
        <sz val="10.5"/>
        <rFont val="华文细黑"/>
        <charset val="134"/>
      </rPr>
      <t>负责人</t>
    </r>
    <r>
      <rPr>
        <sz val="10.5"/>
        <rFont val="华文细黑"/>
        <charset val="134"/>
      </rPr>
      <t>签收。</t>
    </r>
  </si>
  <si>
    <t>【甲方索取原料/辅料签收单（甲方联）以便在货款结算支付时交给乙方】，运费由甲方承担</t>
  </si>
  <si>
    <t>□ 由乙方自提。</t>
  </si>
  <si>
    <t>第四条  货物验收</t>
  </si>
  <si>
    <r>
      <rPr>
        <sz val="10.5"/>
        <rFont val="华文细黑"/>
        <charset val="134"/>
      </rPr>
      <t>验收方式：</t>
    </r>
    <r>
      <rPr>
        <u/>
        <sz val="10.5"/>
        <rFont val="华文细黑"/>
        <charset val="134"/>
      </rPr>
      <t xml:space="preserve">  本司拥有自主验货权利                                                 </t>
    </r>
  </si>
  <si>
    <r>
      <rPr>
        <sz val="10.5"/>
        <rFont val="华文细黑"/>
        <charset val="134"/>
      </rPr>
      <t>质量异议期限：</t>
    </r>
    <r>
      <rPr>
        <u/>
        <sz val="10.5"/>
        <rFont val="华文细黑"/>
        <charset val="134"/>
      </rPr>
      <t xml:space="preserve">      6个月                                                        </t>
    </r>
  </si>
  <si>
    <t>第五条  货款结算和支付</t>
  </si>
  <si>
    <t xml:space="preserve">                整批大货（服装）出货后45天结账                                                                    </t>
  </si>
  <si>
    <t>第六条  违约责任</t>
  </si>
  <si>
    <r>
      <rPr>
        <sz val="10.5"/>
        <rFont val="华文细黑"/>
        <charset val="134"/>
      </rPr>
      <t>供方逾期交货，每逾期一天，承担合同价款</t>
    </r>
    <r>
      <rPr>
        <u/>
        <sz val="10.5"/>
        <rFont val="华文细黑"/>
        <charset val="134"/>
      </rPr>
      <t>5</t>
    </r>
    <r>
      <rPr>
        <sz val="10.5"/>
        <rFont val="华文细黑"/>
        <charset val="134"/>
      </rPr>
      <t>_‰的违约金。逾期超过</t>
    </r>
    <r>
      <rPr>
        <u/>
        <sz val="10.5"/>
        <rFont val="华文细黑"/>
        <charset val="134"/>
      </rPr>
      <t>_7</t>
    </r>
    <r>
      <rPr>
        <sz val="10.5"/>
        <rFont val="华文细黑"/>
        <charset val="134"/>
      </rPr>
      <t>__天，则需方有权解除协议。</t>
    </r>
  </si>
  <si>
    <t>供方交付货物不符合质量标准，承担调换、重作的违约责任。因调换、重作造成逾期交货的，</t>
  </si>
  <si>
    <t>按照逾期交货的违约责任。无法调换、重作的，则需方有权解除合同，并由供方承担合同总价款30%的违约金。</t>
  </si>
  <si>
    <r>
      <rPr>
        <sz val="10.5"/>
        <rFont val="华文细黑"/>
        <charset val="134"/>
      </rPr>
      <t>需方逾期支付货款的，每逾期一天，承担应付款项</t>
    </r>
    <r>
      <rPr>
        <u/>
        <sz val="10.5"/>
        <rFont val="华文细黑"/>
        <charset val="134"/>
      </rPr>
      <t>_5__</t>
    </r>
    <r>
      <rPr>
        <sz val="10.5"/>
        <rFont val="华文细黑"/>
        <charset val="134"/>
      </rPr>
      <t>‰的违约金。</t>
    </r>
  </si>
  <si>
    <t>第七条争议解决</t>
  </si>
  <si>
    <t>因履行本协议发生的争议，双方应友好协商解决，协商不成的，则提交协议签订地仲裁委或法院诉讼。</t>
  </si>
  <si>
    <t>第八条  其他</t>
  </si>
  <si>
    <r>
      <rPr>
        <sz val="10.5"/>
        <rFont val="华文细黑"/>
        <charset val="134"/>
      </rPr>
      <t>本协议一式_</t>
    </r>
    <r>
      <rPr>
        <u/>
        <sz val="10.5"/>
        <rFont val="华文细黑"/>
        <charset val="134"/>
      </rPr>
      <t>__贰_</t>
    </r>
    <r>
      <rPr>
        <sz val="10.5"/>
        <rFont val="华文细黑"/>
        <charset val="134"/>
      </rPr>
      <t>_份，双方各执</t>
    </r>
    <r>
      <rPr>
        <u/>
        <sz val="10.5"/>
        <rFont val="华文细黑"/>
        <charset val="134"/>
      </rPr>
      <t>_ 壹__</t>
    </r>
    <r>
      <rPr>
        <sz val="10.5"/>
        <rFont val="华文细黑"/>
        <charset val="134"/>
      </rPr>
      <t>份。</t>
    </r>
  </si>
  <si>
    <t>甲方（供方）：张家港金利织带有限公司
     乙方（需方）：南京达泰服装有限公司</t>
  </si>
  <si>
    <t>法定代表人：                                                      法定代表人：沈云华</t>
  </si>
  <si>
    <t>委托代理人：赵洪刚                                          委托代理人：金小涵</t>
  </si>
  <si>
    <t>担保方（个人）：</t>
  </si>
  <si>
    <t>身份证号：</t>
  </si>
  <si>
    <r>
      <t>签约时间：2026 年 5</t>
    </r>
    <r>
      <rPr>
        <u/>
        <sz val="10.5"/>
        <rFont val="华文细黑"/>
        <charset val="134"/>
      </rPr>
      <t xml:space="preserve"> </t>
    </r>
    <r>
      <rPr>
        <sz val="10.5"/>
        <rFont val="华文细黑"/>
        <charset val="134"/>
      </rPr>
      <t>月 28</t>
    </r>
    <r>
      <rPr>
        <u/>
        <sz val="10.5"/>
        <rFont val="华文细黑"/>
        <charset val="134"/>
      </rPr>
      <t xml:space="preserve"> </t>
    </r>
    <r>
      <rPr>
        <sz val="10.5"/>
        <rFont val="华文细黑"/>
        <charset val="134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</si>
</sst>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$-409]* #,##0.00_ ;_-[$$-409]* \-#,##0.00\ ;_-[$$-409]* &quot;-&quot;??_ ;_-@_ "/>
  </numFmts>
  <fonts count="42">
    <font>
      <sz val="12"/>
      <name val="宋体"/>
      <charset val="134"/>
    </font>
    <font>
      <sz val="12"/>
      <name val="华文细黑"/>
      <charset val="134"/>
    </font>
    <font>
      <sz val="11"/>
      <name val="华文细黑"/>
      <charset val="134"/>
    </font>
    <font>
      <b/>
      <sz val="12"/>
      <name val="华文细黑"/>
      <charset val="134"/>
    </font>
    <font>
      <b/>
      <sz val="22"/>
      <name val="华文细黑"/>
      <charset val="134"/>
    </font>
    <font>
      <b/>
      <sz val="14"/>
      <name val="华文细黑"/>
      <charset val="134"/>
    </font>
    <font>
      <b/>
      <sz val="10.5"/>
      <name val="华文细黑"/>
      <charset val="134"/>
    </font>
    <font>
      <sz val="10.5"/>
      <name val="华文细黑"/>
      <charset val="134"/>
    </font>
    <font>
      <sz val="12"/>
      <color indexed="10"/>
      <name val="华文细黑"/>
      <charset val="134"/>
    </font>
    <font>
      <b/>
      <sz val="11"/>
      <color theme="1"/>
      <name val="华文细黑"/>
      <charset val="134"/>
    </font>
    <font>
      <sz val="9"/>
      <name val="微软雅黑"/>
      <charset val="134"/>
    </font>
    <font>
      <b/>
      <sz val="11"/>
      <color rgb="FFFF0000"/>
      <name val="华文细黑"/>
      <charset val="134"/>
    </font>
    <font>
      <sz val="11"/>
      <color rgb="FFFF0000"/>
      <name val="华文细黑"/>
      <charset val="134"/>
    </font>
    <font>
      <b/>
      <sz val="10"/>
      <name val="微软雅黑"/>
      <family val="2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name val="微软雅黑"/>
      <family val="2"/>
      <charset val="134"/>
    </font>
    <font>
      <sz val="10"/>
      <color rgb="FF000000"/>
      <name val="微软雅黑"/>
      <charset val="134"/>
    </font>
    <font>
      <u/>
      <sz val="10.5"/>
      <name val="华文细黑"/>
      <charset val="134"/>
    </font>
    <font>
      <b/>
      <sz val="12"/>
      <color indexed="10"/>
      <name val="华文细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u/>
      <sz val="10.5"/>
      <color indexed="10"/>
      <name val="华文细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8" applyNumberFormat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5" borderId="8" applyNumberFormat="0" applyAlignment="0" applyProtection="0">
      <alignment vertical="center"/>
    </xf>
    <xf numFmtId="0" fontId="32" fillId="6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4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49" applyFont="1" applyFill="1" applyBorder="1" applyAlignment="1">
      <alignment horizontal="center" vertical="center"/>
    </xf>
    <xf numFmtId="0" fontId="5" fillId="0" borderId="0" xfId="49" applyFont="1" applyFill="1" applyBorder="1" applyAlignment="1">
      <alignment horizontal="center" vertical="center"/>
    </xf>
    <xf numFmtId="0" fontId="6" fillId="0" borderId="0" xfId="49" applyFont="1" applyFill="1" applyBorder="1" applyAlignment="1">
      <alignment horizontal="left" vertical="center"/>
    </xf>
    <xf numFmtId="0" fontId="7" fillId="0" borderId="0" xfId="49" applyFont="1" applyFill="1" applyBorder="1" applyAlignment="1">
      <alignment horizontal="left" vertical="center"/>
    </xf>
    <xf numFmtId="0" fontId="2" fillId="0" borderId="0" xfId="49" applyFont="1" applyFill="1" applyBorder="1" applyAlignment="1">
      <alignment horizontal="left" vertical="center" indent="2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0" xfId="49" applyFont="1" applyFill="1" applyBorder="1" applyAlignment="1">
      <alignment horizontal="left" vertical="center" indent="2"/>
    </xf>
    <xf numFmtId="0" fontId="3" fillId="0" borderId="0" xfId="49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7" fillId="0" borderId="1" xfId="49" applyFont="1" applyFill="1" applyBorder="1" applyAlignment="1">
      <alignment horizontal="center" vertical="top"/>
    </xf>
    <xf numFmtId="0" fontId="7" fillId="0" borderId="1" xfId="49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7" fontId="7" fillId="0" borderId="1" xfId="49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4" fontId="7" fillId="0" borderId="1" xfId="49" applyNumberFormat="1" applyFont="1" applyFill="1" applyBorder="1" applyAlignment="1">
      <alignment horizontal="center" vertical="center"/>
    </xf>
    <xf numFmtId="0" fontId="11" fillId="2" borderId="0" xfId="49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1" fillId="0" borderId="0" xfId="49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NumberFormat="1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8" fillId="0" borderId="0" xfId="49" applyFont="1" applyFill="1" applyBorder="1" applyAlignment="1">
      <alignment horizontal="left" vertical="center" indent="2"/>
    </xf>
    <xf numFmtId="0" fontId="7" fillId="0" borderId="0" xfId="49" applyNumberFormat="1" applyFont="1" applyFill="1" applyBorder="1" applyAlignment="1">
      <alignment horizontal="left" vertical="center" indent="1"/>
    </xf>
    <xf numFmtId="0" fontId="1" fillId="0" borderId="0" xfId="49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topLeftCell="A42" workbookViewId="0">
      <selection activeCell="A83" sqref="A83"/>
    </sheetView>
  </sheetViews>
  <sheetFormatPr defaultColWidth="8.25" defaultRowHeight="18" outlineLevelCol="7"/>
  <cols>
    <col min="1" max="1" width="15.5" style="1" customWidth="1"/>
    <col min="2" max="2" width="18.4166666666667" style="1" customWidth="1"/>
    <col min="3" max="3" width="9.75" style="1" customWidth="1"/>
    <col min="4" max="4" width="8.94166666666667" style="1" customWidth="1"/>
    <col min="5" max="5" width="10.8916666666667" style="1" customWidth="1"/>
    <col min="6" max="6" width="10.4333333333333" style="1" customWidth="1"/>
    <col min="7" max="7" width="15.5" style="1" customWidth="1"/>
    <col min="8" max="8" width="11.1666666666667" style="1" customWidth="1"/>
    <col min="9" max="250" width="8.25" style="1" customWidth="1"/>
    <col min="251" max="16384" width="8.25" style="1"/>
  </cols>
  <sheetData>
    <row r="1" s="1" customFormat="1" ht="33.6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21" spans="1:8">
      <c r="A2" s="5" t="s">
        <v>1</v>
      </c>
      <c r="B2" s="5"/>
      <c r="C2" s="5"/>
      <c r="D2" s="5"/>
      <c r="E2" s="5"/>
      <c r="F2" s="5"/>
      <c r="G2" s="5"/>
      <c r="H2" s="5"/>
    </row>
    <row r="3" s="1" customFormat="1" spans="1:8">
      <c r="A3" s="6" t="s">
        <v>2</v>
      </c>
    </row>
    <row r="4" s="1" customFormat="1" spans="1:8">
      <c r="A4" s="6" t="s">
        <v>3</v>
      </c>
    </row>
    <row r="5" s="1" customFormat="1" spans="1:8">
      <c r="A5" s="7" t="s">
        <v>4</v>
      </c>
    </row>
    <row r="6" s="1" customFormat="1" spans="1:8">
      <c r="A6" s="8" t="s">
        <v>5</v>
      </c>
      <c r="B6" s="9"/>
      <c r="C6" s="10"/>
      <c r="D6" s="11"/>
    </row>
    <row r="7" s="1" customFormat="1" spans="1:8">
      <c r="A7" s="8" t="s">
        <v>6</v>
      </c>
      <c r="B7" s="9"/>
      <c r="C7" s="10"/>
      <c r="D7" s="11"/>
    </row>
    <row r="8" s="1" customFormat="1" spans="1:8">
      <c r="A8" s="12" t="s">
        <v>7</v>
      </c>
      <c r="B8" s="9"/>
      <c r="C8" s="10"/>
      <c r="D8" s="11"/>
    </row>
    <row r="9" s="1" customFormat="1" spans="1:8">
      <c r="A9" s="12" t="s">
        <v>8</v>
      </c>
      <c r="B9" s="10"/>
      <c r="C9" s="10"/>
      <c r="D9" s="11"/>
    </row>
    <row r="10" s="1" customFormat="1" spans="1:8">
      <c r="A10" s="12" t="s">
        <v>9</v>
      </c>
      <c r="B10" s="10"/>
      <c r="C10" s="10"/>
      <c r="D10" s="11"/>
    </row>
    <row r="11" s="1" customFormat="1" spans="1:8">
      <c r="A11" s="12" t="s">
        <v>4</v>
      </c>
    </row>
    <row r="12" s="1" customFormat="1" spans="1:8">
      <c r="A12" s="12" t="s">
        <v>10</v>
      </c>
      <c r="B12" s="10"/>
      <c r="C12" s="10"/>
      <c r="D12" s="10"/>
    </row>
    <row r="13" s="1" customFormat="1" spans="1:8">
      <c r="A13" s="12" t="s">
        <v>11</v>
      </c>
      <c r="B13" s="10"/>
      <c r="C13" s="10"/>
      <c r="D13" s="10"/>
    </row>
    <row r="14" s="1" customFormat="1" spans="1:8">
      <c r="A14" s="12" t="s">
        <v>12</v>
      </c>
      <c r="B14" s="10"/>
      <c r="C14" s="10"/>
      <c r="D14" s="10"/>
    </row>
    <row r="15" s="1" customFormat="1" spans="1:8">
      <c r="A15" s="12" t="s">
        <v>13</v>
      </c>
      <c r="B15" s="10"/>
      <c r="C15" s="10"/>
      <c r="D15" s="10"/>
    </row>
    <row r="16" s="1" customFormat="1" spans="1:8">
      <c r="A16" s="12" t="s">
        <v>14</v>
      </c>
      <c r="B16" s="10"/>
      <c r="C16" s="10"/>
      <c r="D16" s="10"/>
    </row>
    <row r="17" s="1" customFormat="1" spans="1:8">
      <c r="A17" s="10"/>
      <c r="B17" s="10"/>
      <c r="C17" s="10"/>
      <c r="D17" s="10"/>
    </row>
    <row r="18" s="1" customFormat="1" spans="1:8">
      <c r="A18" s="12" t="s">
        <v>15</v>
      </c>
      <c r="B18" s="10"/>
      <c r="C18" s="10"/>
      <c r="D18" s="10"/>
    </row>
    <row r="19" s="1" customFormat="1" spans="1:8">
      <c r="A19" s="12" t="s">
        <v>16</v>
      </c>
      <c r="B19" s="10"/>
      <c r="C19" s="10"/>
      <c r="D19" s="10"/>
    </row>
    <row r="20" s="1" customFormat="1" spans="1:8">
      <c r="A20" s="12" t="s">
        <v>17</v>
      </c>
      <c r="B20" s="10"/>
      <c r="C20" s="10"/>
      <c r="D20" s="10"/>
    </row>
    <row r="21" s="1" customFormat="1" spans="1:8">
      <c r="A21" s="12" t="s">
        <v>4</v>
      </c>
    </row>
    <row r="22" s="1" customFormat="1" spans="1:8">
      <c r="A22" s="12" t="s">
        <v>18</v>
      </c>
    </row>
    <row r="23" s="1" customFormat="1" spans="1:8">
      <c r="A23" s="13" t="s">
        <v>19</v>
      </c>
      <c r="B23" s="14"/>
    </row>
    <row r="24" s="1" customFormat="1" spans="1:8">
      <c r="A24" s="15" t="s">
        <v>20</v>
      </c>
      <c r="B24" s="15" t="s">
        <v>21</v>
      </c>
      <c r="C24" s="15" t="s">
        <v>22</v>
      </c>
      <c r="D24" s="15" t="s">
        <v>23</v>
      </c>
      <c r="E24" s="15" t="s">
        <v>24</v>
      </c>
      <c r="F24" s="15" t="s">
        <v>25</v>
      </c>
      <c r="G24" s="15" t="s">
        <v>26</v>
      </c>
      <c r="H24" s="15" t="s">
        <v>27</v>
      </c>
    </row>
    <row r="25" s="1" customFormat="1" spans="1:8">
      <c r="A25" s="16" t="s">
        <v>28</v>
      </c>
      <c r="B25" s="17" t="s">
        <v>29</v>
      </c>
      <c r="C25" s="16" t="s">
        <v>30</v>
      </c>
      <c r="D25" s="18">
        <f>H35</f>
        <v>1430</v>
      </c>
      <c r="E25" s="19"/>
      <c r="F25" s="19">
        <f t="shared" ref="F25:F30" si="0">D25*E25</f>
        <v>0</v>
      </c>
      <c r="G25" s="20" t="s">
        <v>31</v>
      </c>
      <c r="H25" s="21">
        <v>46172</v>
      </c>
    </row>
    <row r="26" s="1" customFormat="1" spans="1:8">
      <c r="A26" s="16" t="s">
        <v>32</v>
      </c>
      <c r="B26" s="17" t="s">
        <v>33</v>
      </c>
      <c r="C26" s="16" t="s">
        <v>30</v>
      </c>
      <c r="D26" s="18">
        <f>H35</f>
        <v>1430</v>
      </c>
      <c r="E26" s="19"/>
      <c r="F26" s="19">
        <f t="shared" si="0"/>
        <v>0</v>
      </c>
      <c r="G26" s="20"/>
      <c r="H26" s="21"/>
    </row>
    <row r="27" s="1" customFormat="1" spans="1:8">
      <c r="A27" s="16" t="s">
        <v>28</v>
      </c>
      <c r="B27" s="17" t="s">
        <v>29</v>
      </c>
      <c r="C27" s="16" t="s">
        <v>30</v>
      </c>
      <c r="D27" s="18">
        <f>H39</f>
        <v>5842</v>
      </c>
      <c r="E27" s="19"/>
      <c r="F27" s="19">
        <f t="shared" si="0"/>
        <v>0</v>
      </c>
      <c r="G27" s="20" t="s">
        <v>34</v>
      </c>
      <c r="H27" s="21">
        <v>46172</v>
      </c>
    </row>
    <row r="28" s="1" customFormat="1" spans="1:8">
      <c r="A28" s="16" t="s">
        <v>32</v>
      </c>
      <c r="B28" s="17" t="s">
        <v>33</v>
      </c>
      <c r="C28" s="16" t="s">
        <v>30</v>
      </c>
      <c r="D28" s="18">
        <f>H39</f>
        <v>5842</v>
      </c>
      <c r="E28" s="19"/>
      <c r="F28" s="19">
        <f t="shared" si="0"/>
        <v>0</v>
      </c>
      <c r="G28" s="20"/>
      <c r="H28" s="21"/>
    </row>
    <row r="29" s="1" customFormat="1" spans="1:8">
      <c r="A29" s="16" t="s">
        <v>28</v>
      </c>
      <c r="B29" s="17" t="s">
        <v>29</v>
      </c>
      <c r="C29" s="16" t="s">
        <v>30</v>
      </c>
      <c r="D29" s="18">
        <f>H43</f>
        <v>6050</v>
      </c>
      <c r="E29" s="19"/>
      <c r="F29" s="19">
        <f t="shared" si="0"/>
        <v>0</v>
      </c>
      <c r="G29" s="20" t="s">
        <v>35</v>
      </c>
      <c r="H29" s="21">
        <v>46172</v>
      </c>
    </row>
    <row r="30" s="1" customFormat="1" spans="1:8">
      <c r="A30" s="16" t="s">
        <v>32</v>
      </c>
      <c r="B30" s="17" t="s">
        <v>33</v>
      </c>
      <c r="C30" s="16" t="s">
        <v>30</v>
      </c>
      <c r="D30" s="18">
        <f>H43</f>
        <v>6050</v>
      </c>
      <c r="E30" s="19"/>
      <c r="F30" s="19">
        <f t="shared" si="0"/>
        <v>0</v>
      </c>
      <c r="G30" s="20"/>
      <c r="H30" s="21"/>
    </row>
    <row r="31" s="2" customFormat="1" ht="15.75" spans="1:8">
      <c r="A31" s="22" t="s">
        <v>36</v>
      </c>
      <c r="B31" s="23"/>
      <c r="C31" s="23"/>
      <c r="D31" s="23"/>
      <c r="E31" s="23"/>
      <c r="F31" s="24"/>
      <c r="G31" s="24"/>
    </row>
    <row r="32" s="2" customFormat="1" ht="15.75" spans="1:8">
      <c r="A32" s="25"/>
      <c r="B32" s="26"/>
      <c r="C32" s="26"/>
      <c r="D32" s="26"/>
      <c r="E32" s="26"/>
    </row>
    <row r="33" s="1" customFormat="1" spans="1:8">
      <c r="A33" s="27" t="s">
        <v>37</v>
      </c>
      <c r="B33" s="28"/>
      <c r="C33" s="28"/>
      <c r="D33" s="28"/>
      <c r="E33" s="28"/>
      <c r="F33" s="28"/>
      <c r="G33" s="28"/>
      <c r="H33" s="28"/>
    </row>
    <row r="34" s="3" customFormat="1" spans="1:8">
      <c r="A34" s="29"/>
      <c r="B34" s="30">
        <v>4</v>
      </c>
      <c r="C34" s="30">
        <v>6</v>
      </c>
      <c r="D34" s="30">
        <v>8</v>
      </c>
      <c r="E34" s="30">
        <v>10</v>
      </c>
      <c r="F34" s="30">
        <v>12</v>
      </c>
      <c r="G34" s="30">
        <v>14</v>
      </c>
      <c r="H34" s="31" t="s">
        <v>38</v>
      </c>
    </row>
    <row r="35" s="2" customFormat="1" ht="16.5" spans="1:8">
      <c r="A35" s="32" t="s">
        <v>23</v>
      </c>
      <c r="B35" s="33">
        <v>86</v>
      </c>
      <c r="C35" s="33">
        <v>173</v>
      </c>
      <c r="D35" s="33">
        <v>245</v>
      </c>
      <c r="E35" s="33">
        <v>284</v>
      </c>
      <c r="F35" s="33">
        <v>342</v>
      </c>
      <c r="G35" s="33">
        <v>300</v>
      </c>
      <c r="H35" s="34">
        <f>SUM(B35:G35)</f>
        <v>1430</v>
      </c>
    </row>
    <row r="36" s="2" customFormat="1" ht="16.5" spans="1:8">
      <c r="A36" s="35"/>
      <c r="B36" s="36"/>
      <c r="C36" s="36"/>
      <c r="D36" s="36"/>
      <c r="E36" s="36"/>
      <c r="F36" s="36"/>
      <c r="G36" s="36"/>
    </row>
    <row r="37" s="2" customFormat="1" ht="16.5" spans="1:8">
      <c r="A37" s="37" t="s">
        <v>39</v>
      </c>
      <c r="B37" s="38"/>
      <c r="C37" s="38"/>
      <c r="D37" s="38"/>
      <c r="E37" s="38"/>
      <c r="F37" s="38"/>
      <c r="G37" s="38"/>
      <c r="H37" s="38"/>
    </row>
    <row r="38" s="2" customFormat="1" ht="16.5" spans="1:8">
      <c r="A38" s="39"/>
      <c r="B38" s="40" t="s">
        <v>40</v>
      </c>
      <c r="C38" s="40" t="s">
        <v>41</v>
      </c>
      <c r="D38" s="40" t="s">
        <v>42</v>
      </c>
      <c r="E38" s="40" t="s">
        <v>43</v>
      </c>
      <c r="F38" s="40" t="s">
        <v>44</v>
      </c>
      <c r="G38" s="40" t="s">
        <v>45</v>
      </c>
      <c r="H38" s="41" t="s">
        <v>38</v>
      </c>
    </row>
    <row r="39" s="2" customFormat="1" ht="16.5" spans="1:8">
      <c r="A39" s="32" t="s">
        <v>23</v>
      </c>
      <c r="B39" s="42">
        <v>227</v>
      </c>
      <c r="C39" s="42">
        <v>742</v>
      </c>
      <c r="D39" s="42">
        <v>999</v>
      </c>
      <c r="E39" s="42">
        <v>1269</v>
      </c>
      <c r="F39" s="42">
        <v>1390</v>
      </c>
      <c r="G39" s="42">
        <v>1215</v>
      </c>
      <c r="H39" s="34">
        <f>SUM(B39:G39)</f>
        <v>5842</v>
      </c>
    </row>
    <row r="40" s="2" customFormat="1" ht="16.5" spans="1:8">
      <c r="A40" s="35"/>
      <c r="B40" s="36"/>
      <c r="C40" s="36"/>
      <c r="D40" s="36"/>
      <c r="E40" s="36"/>
      <c r="F40" s="36"/>
      <c r="G40" s="36"/>
    </row>
    <row r="41" s="2" customFormat="1" ht="16.5" spans="1:8">
      <c r="A41" s="43" t="s">
        <v>46</v>
      </c>
      <c r="B41" s="28"/>
      <c r="C41" s="28"/>
      <c r="D41" s="28"/>
      <c r="E41" s="28"/>
      <c r="F41" s="28"/>
      <c r="G41" s="28"/>
      <c r="H41" s="28"/>
    </row>
    <row r="42" s="2" customFormat="1" ht="16.5" spans="1:8">
      <c r="A42" s="44"/>
      <c r="B42" s="30">
        <v>4</v>
      </c>
      <c r="C42" s="30">
        <v>6</v>
      </c>
      <c r="D42" s="30">
        <v>8</v>
      </c>
      <c r="E42" s="30">
        <v>10</v>
      </c>
      <c r="F42" s="30">
        <v>12</v>
      </c>
      <c r="G42" s="30">
        <v>14</v>
      </c>
      <c r="H42" s="45" t="s">
        <v>38</v>
      </c>
    </row>
    <row r="43" s="2" customFormat="1" ht="16.5" spans="1:8">
      <c r="A43" s="46" t="s">
        <v>23</v>
      </c>
      <c r="B43" s="47">
        <v>250</v>
      </c>
      <c r="C43" s="47">
        <v>770</v>
      </c>
      <c r="D43" s="47">
        <v>1116</v>
      </c>
      <c r="E43" s="47">
        <v>1367</v>
      </c>
      <c r="F43" s="47">
        <v>1404</v>
      </c>
      <c r="G43" s="47">
        <v>1143</v>
      </c>
      <c r="H43" s="48">
        <f>SUM(B43:G43)</f>
        <v>6050</v>
      </c>
    </row>
    <row r="44" s="2" customFormat="1" ht="16.5" spans="1:8">
      <c r="A44" s="35"/>
      <c r="B44" s="36"/>
      <c r="C44" s="36"/>
      <c r="D44" s="36"/>
      <c r="E44" s="36"/>
      <c r="F44" s="36"/>
      <c r="G44" s="36"/>
    </row>
    <row r="45" s="1" customFormat="1" ht="19" customHeight="1" spans="1:8">
      <c r="A45" s="13" t="s">
        <v>47</v>
      </c>
    </row>
    <row r="46" s="1" customFormat="1" spans="1:8">
      <c r="A46" s="12" t="s">
        <v>48</v>
      </c>
    </row>
    <row r="47" s="1" customFormat="1" spans="1:8">
      <c r="A47" s="12" t="s">
        <v>49</v>
      </c>
    </row>
    <row r="48" s="1" customFormat="1" spans="1:8">
      <c r="A48" s="12" t="s">
        <v>50</v>
      </c>
    </row>
    <row r="49" s="1" customFormat="1" spans="1:1">
      <c r="A49" s="12" t="s">
        <v>51</v>
      </c>
    </row>
    <row r="50" s="1" customFormat="1" spans="1:1">
      <c r="A50" s="12" t="s">
        <v>52</v>
      </c>
    </row>
    <row r="51" s="1" customFormat="1" ht="13" customHeight="1" spans="1:1">
      <c r="A51" s="12"/>
    </row>
    <row r="52" s="1" customFormat="1" spans="1:1">
      <c r="A52" s="13" t="s">
        <v>53</v>
      </c>
    </row>
    <row r="53" s="1" customFormat="1" spans="1:1">
      <c r="A53" s="7" t="s">
        <v>54</v>
      </c>
    </row>
    <row r="54" s="1" customFormat="1" spans="1:1">
      <c r="A54" s="7" t="s">
        <v>55</v>
      </c>
    </row>
    <row r="55" s="1" customFormat="1" spans="1:1">
      <c r="A55" s="12" t="s">
        <v>56</v>
      </c>
    </row>
    <row r="56" s="1" customFormat="1" ht="11" customHeight="1" spans="1:1">
      <c r="A56" s="12"/>
    </row>
    <row r="57" s="1" customFormat="1" spans="1:1">
      <c r="A57" s="13" t="s">
        <v>57</v>
      </c>
    </row>
    <row r="58" s="1" customFormat="1" spans="1:1">
      <c r="A58" s="12" t="s">
        <v>58</v>
      </c>
    </row>
    <row r="59" s="1" customFormat="1" spans="1:1">
      <c r="A59" s="12" t="s">
        <v>59</v>
      </c>
    </row>
    <row r="60" s="1" customFormat="1" ht="8" customHeight="1" spans="1:1">
      <c r="A60" s="12"/>
    </row>
    <row r="61" s="1" customFormat="1" spans="1:1">
      <c r="A61" s="13" t="s">
        <v>60</v>
      </c>
    </row>
    <row r="62" s="1" customFormat="1" spans="1:1">
      <c r="A62" s="49" t="s">
        <v>61</v>
      </c>
    </row>
    <row r="63" s="1" customFormat="1" ht="6" customHeight="1" spans="1:1">
      <c r="A63" s="49"/>
    </row>
    <row r="64" s="1" customFormat="1" spans="1:1">
      <c r="A64" s="13" t="s">
        <v>62</v>
      </c>
    </row>
    <row r="65" s="1" customFormat="1" spans="1:1">
      <c r="A65" s="50" t="s">
        <v>63</v>
      </c>
    </row>
    <row r="66" s="1" customFormat="1" spans="1:1">
      <c r="A66" s="50" t="s">
        <v>64</v>
      </c>
    </row>
    <row r="67" s="1" customFormat="1" spans="1:1">
      <c r="A67" s="50" t="s">
        <v>65</v>
      </c>
    </row>
    <row r="68" s="1" customFormat="1" spans="1:1">
      <c r="A68" s="50" t="s">
        <v>66</v>
      </c>
    </row>
    <row r="69" s="1" customFormat="1" ht="10" customHeight="1" spans="1:1">
      <c r="A69" s="12"/>
    </row>
    <row r="70" s="1" customFormat="1" spans="1:1">
      <c r="A70" s="13" t="s">
        <v>67</v>
      </c>
    </row>
    <row r="71" s="1" customFormat="1" spans="1:1">
      <c r="A71" s="12" t="s">
        <v>68</v>
      </c>
    </row>
    <row r="72" s="1" customFormat="1" ht="10" customHeight="1" spans="1:1">
      <c r="A72" s="12"/>
    </row>
    <row r="73" s="1" customFormat="1" spans="1:1">
      <c r="A73" s="13" t="s">
        <v>69</v>
      </c>
    </row>
    <row r="74" s="1" customFormat="1" spans="1:1">
      <c r="A74" s="12" t="s">
        <v>70</v>
      </c>
    </row>
    <row r="75" s="1" customFormat="1" spans="1:1">
      <c r="A75" s="51" t="s">
        <v>71</v>
      </c>
    </row>
    <row r="76" s="1" customFormat="1" spans="1:1">
      <c r="A76" s="12" t="s">
        <v>72</v>
      </c>
    </row>
    <row r="77" s="1" customFormat="1" spans="1:1">
      <c r="A77" s="12" t="s">
        <v>73</v>
      </c>
    </row>
    <row r="78" s="1" customFormat="1" ht="9" customHeight="1" spans="1:1">
      <c r="A78" s="12" t="s">
        <v>4</v>
      </c>
    </row>
    <row r="79" s="1" customFormat="1" spans="1:1">
      <c r="A79" s="12" t="s">
        <v>74</v>
      </c>
    </row>
    <row r="80" s="1" customFormat="1" spans="1:1">
      <c r="A80" s="12" t="s">
        <v>75</v>
      </c>
    </row>
    <row r="81" s="1" customFormat="1" ht="10" customHeight="1" spans="1:1">
      <c r="A81" s="12"/>
    </row>
    <row r="82" s="1" customFormat="1" spans="1:1">
      <c r="A82" s="12" t="s">
        <v>76</v>
      </c>
    </row>
    <row r="84" s="1" customFormat="1" spans="1:1">
      <c r="A84" s="52"/>
    </row>
  </sheetData>
  <mergeCells count="11">
    <mergeCell ref="A1:H1"/>
    <mergeCell ref="A2:H2"/>
    <mergeCell ref="A33:H33"/>
    <mergeCell ref="A37:H37"/>
    <mergeCell ref="A41:H41"/>
    <mergeCell ref="G25:G26"/>
    <mergeCell ref="G27:G28"/>
    <mergeCell ref="G29:G30"/>
    <mergeCell ref="H25:H26"/>
    <mergeCell ref="H27:H28"/>
    <mergeCell ref="H29:H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2026-05-28T09:59:56Z</dcterms:created>
  <dcterms:modified xsi:type="dcterms:W3CDTF">2026-05-28T10:00:09Z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E81E8676A5324DD59ABE080F2BD65F19_11</vt:lpwstr>
  </property>
  <property fmtid="{D5CDD505-2E9C-101B-9397-08002B2CF9AE}" pid="3" name="KSOProductBuildVer">
    <vt:lpwstr>2052-12.1.0.26372</vt:lpwstr>
  </property>
  <property fmtid="{D5CDD505-2E9C-101B-9397-08002B2CF9AE}" pid="4" name="CalculationRule">
    <vt:i4>1</vt:i4>
  </property>
</Properties>
</file>