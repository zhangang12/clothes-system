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拉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<sst xmlns="http://schemas.openxmlformats.org/spreadsheetml/2006/main" count="147" uniqueCount="94">
  <si>
    <t>南京达泰服装有限公司</t>
  </si>
  <si>
    <t>原料/辅料购销协议</t>
  </si>
  <si>
    <t>合同编号：25SM591A01</t>
  </si>
  <si>
    <t>签约地点：南京市江宁区将军大道</t>
  </si>
  <si>
    <t>甲方（供方）：上海维希亚服饰有限公司</t>
  </si>
  <si>
    <t>住所地：上海市青浦工业园区崧煌路388号7幢3楼西侧</t>
  </si>
  <si>
    <t>法定代表人：戴颖鸿</t>
  </si>
  <si>
    <t>委托代理人：戴颖鸿</t>
  </si>
  <si>
    <t>电话：025-83208310           传真：025-83208437</t>
  </si>
  <si>
    <t xml:space="preserve">邮箱：15951949155@139.com
</t>
  </si>
  <si>
    <t>乙方（需方）：南京达泰服装有限公司</t>
  </si>
  <si>
    <t>住所地：南京市江宁区将军路6号J6软件创意园C栋101</t>
  </si>
  <si>
    <t>法定代表人：沈云华</t>
  </si>
  <si>
    <t>电话：025-87193951           传真：025-87193962</t>
  </si>
  <si>
    <t>邮箱：king@datex.cn</t>
  </si>
  <si>
    <t>丙方（担保方）（个人）：</t>
  </si>
  <si>
    <t>住所地：                               身份证号：</t>
  </si>
  <si>
    <t>邮箱：                                 电话：</t>
  </si>
  <si>
    <r>
      <rPr>
        <sz val="10.5"/>
        <rFont val="微软雅黑"/>
        <family val="2"/>
        <charset val="134"/>
      </rPr>
      <t>甲、乙、丙三方经友好协商，就乙方购买</t>
    </r>
    <r>
      <rPr>
        <u/>
        <sz val="10.5"/>
        <rFont val="微软雅黑"/>
        <family val="2"/>
        <charset val="134"/>
      </rPr>
      <t>_面料_</t>
    </r>
    <r>
      <rPr>
        <sz val="10.5"/>
        <rFont val="微软雅黑"/>
        <family val="2"/>
        <charset val="134"/>
      </rPr>
      <t>货物，订立以下条款，以资共同遵守。</t>
    </r>
  </si>
  <si>
    <t>第一条  货物</t>
  </si>
  <si>
    <t>品名</t>
  </si>
  <si>
    <t>拉头</t>
  </si>
  <si>
    <t>拉齿</t>
  </si>
  <si>
    <t>码带</t>
  </si>
  <si>
    <t>单位</t>
  </si>
  <si>
    <t>数量
(根）</t>
  </si>
  <si>
    <t>单  价          （元/根）</t>
  </si>
  <si>
    <t>小计（元）</t>
  </si>
  <si>
    <t>款号</t>
  </si>
  <si>
    <t>交货期限</t>
  </si>
  <si>
    <t>5#尼龙开口</t>
  </si>
  <si>
    <t>配色橡胶漆</t>
  </si>
  <si>
    <t>配色</t>
  </si>
  <si>
    <t>黑色</t>
  </si>
  <si>
    <t>条</t>
  </si>
  <si>
    <t>KSA253M600</t>
  </si>
  <si>
    <t>藏青</t>
  </si>
  <si>
    <t>军绿</t>
  </si>
  <si>
    <t>5#尼龙闭口</t>
  </si>
  <si>
    <t>2cm氨纶包边</t>
  </si>
  <si>
    <t>米</t>
  </si>
  <si>
    <t>KANDER胶标</t>
  </si>
  <si>
    <t>个</t>
  </si>
  <si>
    <t>KSA253F600</t>
  </si>
  <si>
    <t>米色</t>
  </si>
  <si>
    <t>总价</t>
  </si>
  <si>
    <t>男款
KSA253M600</t>
  </si>
  <si>
    <t>S</t>
  </si>
  <si>
    <t>M</t>
  </si>
  <si>
    <t>L</t>
  </si>
  <si>
    <t>XL</t>
  </si>
  <si>
    <t>2XL</t>
  </si>
  <si>
    <t>3XL</t>
  </si>
  <si>
    <t>合计</t>
  </si>
  <si>
    <t>主拉尺寸</t>
  </si>
  <si>
    <t>cm</t>
  </si>
  <si>
    <t>袋拉尺寸</t>
  </si>
  <si>
    <t>女款
KSA253F600</t>
  </si>
  <si>
    <t>XS</t>
  </si>
  <si>
    <t>亮黑</t>
  </si>
  <si>
    <t>米白</t>
  </si>
  <si>
    <t xml:space="preserve">                  大货请放一定损耗！！</t>
  </si>
  <si>
    <t>第二条  质量标准</t>
  </si>
  <si>
    <r>
      <rPr>
        <sz val="10.5"/>
        <rFont val="微软雅黑"/>
        <family val="2"/>
        <charset val="134"/>
      </rPr>
      <t>1、颜色：</t>
    </r>
    <r>
      <rPr>
        <u/>
        <sz val="10.5"/>
        <rFont val="微软雅黑"/>
        <family val="2"/>
        <charset val="134"/>
      </rPr>
      <t xml:space="preserve"> 请参照确认色卡颜色                </t>
    </r>
  </si>
  <si>
    <r>
      <rPr>
        <sz val="10.5"/>
        <rFont val="微软雅黑"/>
        <family val="2"/>
        <charset val="134"/>
      </rPr>
      <t>2、成份</t>
    </r>
    <r>
      <rPr>
        <u/>
        <sz val="10.5"/>
        <rFont val="微软雅黑"/>
        <family val="2"/>
        <charset val="134"/>
      </rPr>
      <t>： 涤纶100%</t>
    </r>
    <r>
      <rPr>
        <sz val="10.5"/>
        <rFont val="微软雅黑"/>
        <family val="2"/>
        <charset val="134"/>
      </rPr>
      <t xml:space="preserve">                                                                         </t>
    </r>
  </si>
  <si>
    <r>
      <rPr>
        <sz val="10.5"/>
        <rFont val="微软雅黑"/>
        <family val="2"/>
        <charset val="134"/>
      </rPr>
      <t>3、缩水率：</t>
    </r>
    <r>
      <rPr>
        <u/>
        <sz val="10.5"/>
        <rFont val="微软雅黑"/>
        <family val="2"/>
        <charset val="134"/>
      </rPr>
      <t xml:space="preserve">   3% （ISO ISO6330)                                                                 </t>
    </r>
  </si>
  <si>
    <t>4、其他（指国家标准或特别要求的标准指标或质量标准文件）：</t>
  </si>
  <si>
    <t xml:space="preserve"> A.具体的测试指标以贵司去年提供的测试报告为主;B.门幅为针孔到针孔的有效门幅;       </t>
  </si>
  <si>
    <r>
      <rPr>
        <sz val="10.5"/>
        <rFont val="微软雅黑"/>
        <family val="2"/>
        <charset val="134"/>
      </rPr>
      <t>甲方应在交货前，将符合上述质量标准的货物提交</t>
    </r>
    <r>
      <rPr>
        <u/>
        <sz val="10.5"/>
        <rFont val="微软雅黑"/>
        <family val="2"/>
        <charset val="134"/>
      </rPr>
      <t xml:space="preserve"> 5</t>
    </r>
    <r>
      <rPr>
        <sz val="10.5"/>
        <rFont val="微软雅黑"/>
        <family val="2"/>
        <charset val="134"/>
      </rPr>
      <t>_份样品给乙方，并由双方签字封存。</t>
    </r>
  </si>
  <si>
    <t>第三条  交货方式</t>
  </si>
  <si>
    <r>
      <rPr>
        <sz val="10.5"/>
        <rFont val="微软雅黑"/>
        <family val="2"/>
        <charset val="134"/>
      </rPr>
      <t>由甲方运送至乙方指定的地点</t>
    </r>
    <r>
      <rPr>
        <u/>
        <sz val="10.5"/>
        <rFont val="微软雅黑"/>
        <family val="2"/>
        <charset val="134"/>
      </rPr>
      <t>_待定</t>
    </r>
    <r>
      <rPr>
        <sz val="10.5"/>
        <rFont val="微软雅黑"/>
        <family val="2"/>
        <charset val="134"/>
      </rPr>
      <t>_，并由乙方指定的</t>
    </r>
    <r>
      <rPr>
        <u/>
        <sz val="10.5"/>
        <rFont val="微软雅黑"/>
        <family val="2"/>
        <charset val="134"/>
      </rPr>
      <t>_工厂仓库人员</t>
    </r>
    <r>
      <rPr>
        <sz val="10.5"/>
        <rFont val="微软雅黑"/>
        <family val="2"/>
        <charset val="134"/>
      </rPr>
      <t>签收</t>
    </r>
  </si>
  <si>
    <t>【甲方索取原料/辅料签收单（甲方联）以便在货款结算支付时交给乙方】，运费由_甲方承担。</t>
  </si>
  <si>
    <t>□ 由乙方自提。</t>
  </si>
  <si>
    <t>第四条  货物验收</t>
  </si>
  <si>
    <r>
      <rPr>
        <sz val="10.5"/>
        <rFont val="微软雅黑"/>
        <family val="2"/>
        <charset val="134"/>
      </rPr>
      <t>验收方式：</t>
    </r>
    <r>
      <rPr>
        <u/>
        <sz val="10.5"/>
        <rFont val="微软雅黑"/>
        <family val="2"/>
        <charset val="134"/>
      </rPr>
      <t xml:space="preserve">  本司拥有自主验货权利                                                                     </t>
    </r>
  </si>
  <si>
    <r>
      <rPr>
        <sz val="10.5"/>
        <rFont val="微软雅黑"/>
        <family val="2"/>
        <charset val="134"/>
      </rPr>
      <t>质量异议期限：</t>
    </r>
    <r>
      <rPr>
        <u/>
        <sz val="10.5"/>
        <rFont val="微软雅黑"/>
        <family val="2"/>
        <charset val="134"/>
      </rPr>
      <t xml:space="preserve">    6个月                                                                   </t>
    </r>
  </si>
  <si>
    <t>第五条  货款结算和支付</t>
  </si>
  <si>
    <t>一般情况下需整批大货（服装）出货后45天结账 ，也可根据实际情况双方协商结算。</t>
  </si>
  <si>
    <t>第六条  违约责任</t>
  </si>
  <si>
    <r>
      <rPr>
        <sz val="10.5"/>
        <rFont val="微软雅黑"/>
        <family val="2"/>
        <charset val="134"/>
      </rPr>
      <t>供方逾期交货，每逾期一天，承担合同价款_</t>
    </r>
    <r>
      <rPr>
        <u/>
        <sz val="10.5"/>
        <rFont val="微软雅黑"/>
        <family val="2"/>
        <charset val="134"/>
      </rPr>
      <t>5_</t>
    </r>
    <r>
      <rPr>
        <sz val="10.5"/>
        <rFont val="微软雅黑"/>
        <family val="2"/>
        <charset val="134"/>
      </rPr>
      <t>‰的违约金。逾期超过_</t>
    </r>
    <r>
      <rPr>
        <u/>
        <sz val="10.5"/>
        <rFont val="微软雅黑"/>
        <family val="2"/>
        <charset val="134"/>
      </rPr>
      <t>7</t>
    </r>
    <r>
      <rPr>
        <sz val="10.5"/>
        <rFont val="微软雅黑"/>
        <family val="2"/>
        <charset val="134"/>
      </rPr>
      <t>_天，则需方有权解除协议。</t>
    </r>
  </si>
  <si>
    <t>供方交付货物不符合质量标准，承担调换、重作的违约责任。因调换、重作造成逾期交货的，</t>
  </si>
  <si>
    <t>按照逾期交货的违约责任。无法调换、重作的，则需方有权解除合同，并由供方承担合同总价款30%的违约金。</t>
  </si>
  <si>
    <r>
      <rPr>
        <sz val="10.5"/>
        <rFont val="微软雅黑"/>
        <family val="2"/>
        <charset val="134"/>
      </rPr>
      <t>需方逾期支付货款的，每逾期一天，承担应付款项_</t>
    </r>
    <r>
      <rPr>
        <u/>
        <sz val="10.5"/>
        <rFont val="微软雅黑"/>
        <family val="2"/>
        <charset val="134"/>
      </rPr>
      <t>5</t>
    </r>
    <r>
      <rPr>
        <sz val="10.5"/>
        <rFont val="微软雅黑"/>
        <family val="2"/>
        <charset val="134"/>
      </rPr>
      <t>_‰的违约金。</t>
    </r>
  </si>
  <si>
    <t>第七条 争议解决</t>
  </si>
  <si>
    <t>因履行本协议发生的争议，双方应友好协商解决，协商不成的，则提交协议签订地仲裁委或法院诉讼。</t>
  </si>
  <si>
    <t>第八条  其他</t>
  </si>
  <si>
    <r>
      <rPr>
        <sz val="10.5"/>
        <rFont val="微软雅黑"/>
        <family val="2"/>
        <charset val="134"/>
      </rPr>
      <t>本协议一式_</t>
    </r>
    <r>
      <rPr>
        <u/>
        <sz val="10.5"/>
        <rFont val="微软雅黑"/>
        <family val="2"/>
        <charset val="134"/>
      </rPr>
      <t>__贰_</t>
    </r>
    <r>
      <rPr>
        <sz val="10.5"/>
        <rFont val="微软雅黑"/>
        <family val="2"/>
        <charset val="134"/>
      </rPr>
      <t>_份，双方各执</t>
    </r>
    <r>
      <rPr>
        <u/>
        <sz val="10.5"/>
        <rFont val="微软雅黑"/>
        <family val="2"/>
        <charset val="134"/>
      </rPr>
      <t>_ 壹__</t>
    </r>
    <r>
      <rPr>
        <sz val="10.5"/>
        <rFont val="微软雅黑"/>
        <family val="2"/>
        <charset val="134"/>
      </rPr>
      <t>份。</t>
    </r>
  </si>
  <si>
    <t>甲方（供方）：上海维希亚服饰有限公司         乙方（需方）：南京达泰服装有限公司</t>
  </si>
  <si>
    <t>法定代表人：                                                  法定代表人：沈云华</t>
  </si>
  <si>
    <t>委托代理人：戴颖鸿
                                   委托代理人：金小涵</t>
  </si>
  <si>
    <t xml:space="preserve">                  </t>
  </si>
  <si>
    <t xml:space="preserve">    担保方（个人）： </t>
  </si>
  <si>
    <t>身份证号：</t>
  </si>
  <si>
    <r>
      <t>签约时间：2026年</t>
    </r>
    <r>
      <rPr>
        <u/>
        <sz val="10.5"/>
        <rFont val="微软雅黑"/>
        <family val="2"/>
        <charset val="134"/>
      </rPr>
      <t xml:space="preserve">  04 </t>
    </r>
    <r>
      <rPr>
        <sz val="10.5"/>
        <rFont val="微软雅黑"/>
        <family val="2"/>
        <charset val="134"/>
      </rPr>
      <t>月</t>
    </r>
    <r>
      <rPr>
        <u/>
        <sz val="10.5"/>
        <rFont val="微软雅黑"/>
        <family val="2"/>
        <charset val="134"/>
      </rPr>
      <t xml:space="preserve">  30  </t>
    </r>
    <r>
      <rPr>
        <sz val="10.5"/>
        <rFont val="微软雅黑"/>
        <family val="2"/>
        <charset val="134"/>
      </rPr>
      <t>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</si>
</sst>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  <numFmt numFmtId="177" formatCode="&quot;￥&quot;#,##0.00_);[Red]\(&quot;￥&quot;#,##0.00\)"/>
    <numFmt numFmtId="178" formatCode="_-[$$-409]* #,##0.00_ ;_-[$$-409]* \-#,##0.00\ ;_-[$$-409]* &quot;-&quot;??_ ;_-@_ "/>
  </numFmts>
  <fonts count="38">
    <font>
      <sz val="12"/>
      <name val="宋体"/>
      <charset val="134"/>
    </font>
    <font>
      <sz val="11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22"/>
      <name val="微软雅黑"/>
      <family val="2"/>
      <charset val="134"/>
    </font>
    <font>
      <b/>
      <sz val="14"/>
      <name val="微软雅黑"/>
      <family val="2"/>
      <charset val="134"/>
    </font>
    <font>
      <b/>
      <sz val="10.5"/>
      <name val="微软雅黑"/>
      <family val="2"/>
      <charset val="134"/>
    </font>
    <font>
      <b/>
      <sz val="12"/>
      <name val="微软雅黑"/>
      <family val="2"/>
      <charset val="134"/>
    </font>
    <font>
      <sz val="10.5"/>
      <name val="微软雅黑"/>
      <family val="2"/>
      <charset val="134"/>
    </font>
    <font>
      <sz val="10"/>
      <name val="微软雅黑"/>
      <charset val="134"/>
    </font>
    <font>
      <sz val="1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u/>
      <sz val="10.5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7" borderId="1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14" applyNumberFormat="0" applyAlignment="0" applyProtection="0">
      <alignment vertical="center"/>
    </xf>
    <xf numFmtId="0" fontId="27" fillId="9" borderId="15" applyNumberFormat="0" applyAlignment="0" applyProtection="0">
      <alignment vertical="center"/>
    </xf>
    <xf numFmtId="0" fontId="28" fillId="9" borderId="14" applyNumberFormat="0" applyAlignment="0" applyProtection="0">
      <alignment vertical="center"/>
    </xf>
    <xf numFmtId="0" fontId="29" fillId="10" borderId="16" applyNumberFormat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7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49" applyFont="1" applyFill="1" applyBorder="1" applyAlignment="1">
      <alignment horizontal="left" vertical="center" indent="2"/>
    </xf>
    <xf numFmtId="0" fontId="2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indent="2"/>
    </xf>
    <xf numFmtId="0" fontId="7" fillId="0" borderId="0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8" fontId="8" fillId="0" borderId="1" xfId="0" applyNumberFormat="1" applyFont="1" applyFill="1" applyBorder="1" applyAlignment="1">
      <alignment horizontal="center" vertical="center" wrapText="1"/>
    </xf>
    <xf numFmtId="7" fontId="8" fillId="0" borderId="1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58" fontId="8" fillId="0" borderId="2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58" fontId="8" fillId="0" borderId="3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58" fontId="8" fillId="0" borderId="4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top"/>
    </xf>
    <xf numFmtId="176" fontId="8" fillId="0" borderId="1" xfId="0" applyNumberFormat="1" applyFont="1" applyFill="1" applyBorder="1" applyAlignment="1">
      <alignment horizontal="center" vertical="top"/>
    </xf>
    <xf numFmtId="0" fontId="8" fillId="0" borderId="1" xfId="0" applyFont="1" applyFill="1" applyBorder="1" applyAlignment="1">
      <alignment vertical="top"/>
    </xf>
    <xf numFmtId="177" fontId="8" fillId="0" borderId="1" xfId="0" applyNumberFormat="1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top"/>
    </xf>
    <xf numFmtId="177" fontId="8" fillId="0" borderId="0" xfId="0" applyNumberFormat="1" applyFont="1" applyFill="1" applyBorder="1" applyAlignment="1">
      <alignment horizontal="center" vertical="top"/>
    </xf>
    <xf numFmtId="178" fontId="11" fillId="3" borderId="7" xfId="0" applyNumberFormat="1" applyFont="1" applyFill="1" applyBorder="1" applyAlignment="1">
      <alignment horizontal="center" vertical="center" wrapText="1"/>
    </xf>
    <xf numFmtId="0" fontId="11" fillId="3" borderId="7" xfId="0" applyNumberFormat="1" applyFont="1" applyFill="1" applyBorder="1" applyAlignment="1">
      <alignment horizontal="center" vertical="center"/>
    </xf>
    <xf numFmtId="0" fontId="11" fillId="3" borderId="8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3" fontId="12" fillId="0" borderId="1" xfId="0" applyNumberFormat="1" applyFont="1" applyFill="1" applyBorder="1" applyAlignment="1">
      <alignment horizontal="center" vertical="center"/>
    </xf>
    <xf numFmtId="3" fontId="12" fillId="0" borderId="6" xfId="0" applyNumberFormat="1" applyFont="1" applyFill="1" applyBorder="1" applyAlignment="1">
      <alignment horizontal="center" vertical="center"/>
    </xf>
    <xf numFmtId="3" fontId="12" fillId="0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8" fontId="13" fillId="6" borderId="1" xfId="0" applyNumberFormat="1" applyFont="1" applyFill="1" applyBorder="1" applyAlignment="1">
      <alignment horizontal="center" vertical="center" wrapText="1"/>
    </xf>
    <xf numFmtId="3" fontId="13" fillId="6" borderId="1" xfId="0" applyNumberFormat="1" applyFont="1" applyFill="1" applyBorder="1" applyAlignment="1">
      <alignment horizontal="center" vertical="center"/>
    </xf>
    <xf numFmtId="0" fontId="13" fillId="6" borderId="6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3" fontId="12" fillId="0" borderId="9" xfId="0" applyNumberFormat="1" applyFont="1" applyFill="1" applyBorder="1" applyAlignment="1">
      <alignment horizontal="center" vertical="center"/>
    </xf>
    <xf numFmtId="3" fontId="12" fillId="0" borderId="9" xfId="0" applyNumberFormat="1" applyFont="1" applyFill="1" applyBorder="1" applyAlignment="1">
      <alignment horizontal="center" vertical="center"/>
    </xf>
    <xf numFmtId="3" fontId="12" fillId="0" borderId="1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 indent="2"/>
    </xf>
    <xf numFmtId="0" fontId="7" fillId="0" borderId="0" xfId="0" applyFont="1" applyFill="1" applyBorder="1" applyAlignment="1">
      <alignment horizontal="left" vertical="center" indent="2"/>
    </xf>
    <xf numFmtId="0" fontId="16" fillId="0" borderId="0" xfId="49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93"/>
  <sheetViews>
    <sheetView tabSelected="1" topLeftCell="A29" workbookViewId="0">
      <selection activeCell="A94" sqref="A94"/>
    </sheetView>
  </sheetViews>
  <sheetFormatPr defaultColWidth="9" defaultRowHeight="16.5"/>
  <cols>
    <col min="1" max="1" width="14" style="1" customWidth="1"/>
    <col min="2" max="2" width="9.66666666666667" style="1" customWidth="1"/>
    <col min="3" max="3" width="9" style="1"/>
    <col min="4" max="4" width="11.5" style="1" customWidth="1"/>
    <col min="5" max="6" width="9" style="1"/>
    <col min="7" max="7" width="8.375" style="1" customWidth="1"/>
    <col min="8" max="8" width="14" style="1" customWidth="1"/>
    <col min="9" max="9" width="12.75" style="1" customWidth="1"/>
    <col min="10" max="10" width="8.875" style="1" customWidth="1"/>
    <col min="11" max="16384" width="9" style="1"/>
  </cols>
  <sheetData>
    <row r="1" s="1" customFormat="1" ht="30.5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2"/>
      <c r="L1" s="2"/>
    </row>
    <row r="2" s="1" customFormat="1" ht="20" spans="1:1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2"/>
      <c r="L2" s="2"/>
    </row>
    <row r="3" s="1" customFormat="1" spans="1:12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2"/>
      <c r="L3" s="2"/>
    </row>
    <row r="4" s="1" customFormat="1" spans="1:12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2"/>
      <c r="L4" s="2"/>
    </row>
    <row r="5" s="1" customFormat="1" spans="1:12">
      <c r="A5" s="10"/>
      <c r="B5" s="9"/>
      <c r="C5" s="9"/>
      <c r="D5" s="9"/>
      <c r="E5" s="9"/>
      <c r="F5" s="9"/>
      <c r="G5" s="9"/>
      <c r="H5" s="9"/>
      <c r="I5" s="9"/>
      <c r="J5" s="9"/>
      <c r="K5" s="2"/>
      <c r="L5" s="2"/>
    </row>
    <row r="6" s="2" customFormat="1" spans="1:12">
      <c r="A6" s="11" t="s">
        <v>4</v>
      </c>
      <c r="B6" s="12"/>
      <c r="C6" s="12"/>
      <c r="D6" s="12"/>
      <c r="E6" s="12"/>
      <c r="F6" s="12"/>
      <c r="G6" s="12"/>
      <c r="H6" s="12"/>
    </row>
    <row r="7" s="2" customFormat="1" spans="1:12">
      <c r="A7" s="11" t="s">
        <v>5</v>
      </c>
      <c r="B7" s="12"/>
      <c r="C7" s="12"/>
      <c r="D7" s="12"/>
      <c r="E7" s="12"/>
      <c r="F7" s="12"/>
      <c r="G7" s="12"/>
      <c r="H7" s="12"/>
    </row>
    <row r="8" s="2" customFormat="1" spans="1:12">
      <c r="A8" s="11" t="s">
        <v>6</v>
      </c>
      <c r="B8" s="12"/>
      <c r="C8" s="11" t="s">
        <v>7</v>
      </c>
      <c r="D8" s="12"/>
      <c r="E8" s="12"/>
      <c r="F8" s="12"/>
      <c r="G8" s="12"/>
      <c r="H8" s="12"/>
    </row>
    <row r="9" s="2" customFormat="1" spans="1:12">
      <c r="A9" s="11" t="s">
        <v>8</v>
      </c>
      <c r="B9" s="12"/>
      <c r="C9" s="12"/>
      <c r="D9" s="12"/>
      <c r="E9" s="12"/>
      <c r="F9" s="12"/>
      <c r="G9" s="12"/>
      <c r="H9" s="12"/>
    </row>
    <row r="10" s="2" customFormat="1" spans="1:12">
      <c r="A10" s="11" t="s">
        <v>9</v>
      </c>
      <c r="B10" s="12"/>
      <c r="C10" s="12"/>
      <c r="D10" s="12"/>
      <c r="E10" s="12"/>
      <c r="F10" s="12"/>
      <c r="G10" s="12"/>
      <c r="H10" s="12"/>
    </row>
    <row r="11" s="1" customFormat="1" spans="1:12">
      <c r="A11" s="13"/>
      <c r="B11" s="9"/>
      <c r="C11" s="9"/>
      <c r="D11" s="9"/>
      <c r="E11" s="9"/>
      <c r="F11" s="9"/>
      <c r="G11" s="9"/>
      <c r="H11" s="9"/>
      <c r="I11" s="9"/>
      <c r="J11" s="9"/>
      <c r="K11" s="2"/>
      <c r="L11" s="2"/>
    </row>
    <row r="12" s="1" customFormat="1" spans="1:12">
      <c r="A12" s="13" t="s">
        <v>10</v>
      </c>
      <c r="B12" s="9"/>
      <c r="C12" s="9"/>
      <c r="D12" s="9"/>
      <c r="E12" s="9"/>
      <c r="F12" s="9"/>
      <c r="G12" s="9"/>
      <c r="H12" s="9"/>
      <c r="I12" s="9"/>
      <c r="J12" s="9"/>
      <c r="K12" s="2"/>
      <c r="L12" s="2"/>
    </row>
    <row r="13" s="1" customFormat="1" spans="1:12">
      <c r="A13" s="13" t="s">
        <v>11</v>
      </c>
      <c r="B13" s="9"/>
      <c r="C13" s="9"/>
      <c r="D13" s="9"/>
      <c r="E13" s="9"/>
      <c r="F13" s="9"/>
      <c r="G13" s="9"/>
      <c r="H13" s="9"/>
      <c r="I13" s="9"/>
      <c r="J13" s="9"/>
      <c r="K13" s="2"/>
      <c r="L13" s="2"/>
    </row>
    <row r="14" s="1" customFormat="1" spans="1:12">
      <c r="A14" s="13" t="s">
        <v>12</v>
      </c>
      <c r="B14" s="9"/>
      <c r="C14" s="9"/>
      <c r="D14" s="9"/>
      <c r="E14" s="9"/>
      <c r="F14" s="9"/>
      <c r="G14" s="9"/>
      <c r="H14" s="9"/>
      <c r="I14" s="9"/>
      <c r="J14" s="9"/>
      <c r="K14" s="2"/>
      <c r="L14" s="2"/>
    </row>
    <row r="15" s="1" customFormat="1" spans="1:12">
      <c r="A15" s="13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2"/>
      <c r="L15" s="2"/>
    </row>
    <row r="16" s="1" customFormat="1" spans="1:12">
      <c r="A16" s="13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2"/>
      <c r="L16" s="2"/>
    </row>
    <row r="17" s="1" customFormat="1" spans="1:12">
      <c r="A17" s="13"/>
      <c r="B17" s="9"/>
      <c r="C17" s="9"/>
      <c r="D17" s="9"/>
      <c r="E17" s="9"/>
      <c r="F17" s="9"/>
      <c r="G17" s="9"/>
      <c r="H17" s="9"/>
      <c r="I17" s="9"/>
      <c r="J17" s="9"/>
      <c r="K17" s="2"/>
      <c r="L17" s="2"/>
    </row>
    <row r="18" s="1" customFormat="1" spans="1:12">
      <c r="A18" s="13" t="s">
        <v>15</v>
      </c>
      <c r="B18" s="9"/>
      <c r="C18" s="9"/>
      <c r="D18" s="9"/>
      <c r="E18" s="9"/>
      <c r="F18" s="9"/>
      <c r="G18" s="9"/>
      <c r="H18" s="9"/>
      <c r="I18" s="9"/>
      <c r="J18" s="9"/>
      <c r="K18" s="2"/>
      <c r="L18" s="2"/>
    </row>
    <row r="19" s="1" customFormat="1" spans="1:12">
      <c r="A19" s="13" t="s">
        <v>16</v>
      </c>
      <c r="B19" s="9"/>
      <c r="C19" s="9"/>
      <c r="D19" s="9"/>
      <c r="E19" s="9"/>
      <c r="F19" s="9"/>
      <c r="G19" s="9"/>
      <c r="H19" s="9"/>
      <c r="I19" s="9"/>
      <c r="J19" s="9"/>
      <c r="K19" s="2"/>
      <c r="L19" s="2"/>
    </row>
    <row r="20" s="1" customFormat="1" spans="1:12">
      <c r="A20" s="13" t="s">
        <v>17</v>
      </c>
      <c r="B20" s="9"/>
      <c r="C20" s="9"/>
      <c r="D20" s="9"/>
      <c r="E20" s="9"/>
      <c r="F20" s="9"/>
      <c r="G20" s="9"/>
      <c r="H20" s="9"/>
      <c r="I20" s="9"/>
      <c r="J20" s="9"/>
      <c r="K20" s="2"/>
      <c r="L20" s="2"/>
    </row>
    <row r="21" s="1" customFormat="1" spans="1:12">
      <c r="A21" s="13"/>
      <c r="B21" s="9"/>
      <c r="C21" s="9"/>
      <c r="D21" s="9"/>
      <c r="E21" s="9"/>
      <c r="F21" s="9"/>
      <c r="G21" s="9"/>
      <c r="H21" s="9"/>
      <c r="I21" s="9"/>
      <c r="J21" s="9"/>
      <c r="K21" s="2"/>
      <c r="L21" s="2"/>
    </row>
    <row r="22" s="1" customFormat="1" spans="1:12">
      <c r="A22" s="13" t="s">
        <v>18</v>
      </c>
      <c r="B22" s="9"/>
      <c r="C22" s="9"/>
      <c r="D22" s="9"/>
      <c r="E22" s="9"/>
      <c r="F22" s="9"/>
      <c r="G22" s="9"/>
      <c r="H22" s="9"/>
      <c r="I22" s="9"/>
      <c r="J22" s="9"/>
      <c r="K22" s="2"/>
      <c r="L22" s="2"/>
    </row>
    <row r="23" s="1" customFormat="1" spans="1:12">
      <c r="A23" s="14" t="s">
        <v>19</v>
      </c>
      <c r="B23" s="9"/>
      <c r="C23" s="9"/>
      <c r="D23" s="9"/>
      <c r="E23" s="9"/>
      <c r="F23" s="9"/>
      <c r="G23" s="9"/>
      <c r="H23" s="9"/>
      <c r="I23" s="9"/>
      <c r="J23" s="9"/>
      <c r="K23" s="2"/>
      <c r="L23" s="2"/>
    </row>
    <row r="24" s="1" customFormat="1" ht="30" spans="1:12">
      <c r="A24" s="15" t="s">
        <v>20</v>
      </c>
      <c r="B24" s="15" t="s">
        <v>21</v>
      </c>
      <c r="C24" s="15" t="s">
        <v>22</v>
      </c>
      <c r="D24" s="15" t="s">
        <v>23</v>
      </c>
      <c r="E24" s="15" t="s">
        <v>24</v>
      </c>
      <c r="F24" s="15" t="s">
        <v>25</v>
      </c>
      <c r="G24" s="15" t="s">
        <v>26</v>
      </c>
      <c r="H24" s="15" t="s">
        <v>27</v>
      </c>
      <c r="I24" s="15" t="s">
        <v>28</v>
      </c>
      <c r="J24" s="15" t="s">
        <v>29</v>
      </c>
      <c r="K24" s="16"/>
      <c r="L24" s="2"/>
    </row>
    <row r="25" s="1" customFormat="1" spans="1:12">
      <c r="A25" s="17" t="s">
        <v>30</v>
      </c>
      <c r="B25" s="17" t="s">
        <v>31</v>
      </c>
      <c r="C25" s="17" t="s">
        <v>32</v>
      </c>
      <c r="D25" s="18" t="s">
        <v>33</v>
      </c>
      <c r="E25" s="15" t="s">
        <v>34</v>
      </c>
      <c r="F25" s="15">
        <v>1520</v>
      </c>
      <c r="G25" s="19">
        <v>1</v>
      </c>
      <c r="H25" s="20">
        <f t="shared" ref="H25:H44" si="0">F25*G25</f>
        <v>1520</v>
      </c>
      <c r="I25" s="21" t="s">
        <v>35</v>
      </c>
      <c r="J25" s="22">
        <v>46157</v>
      </c>
      <c r="K25" s="16"/>
      <c r="L25" s="2"/>
    </row>
    <row r="26" s="1" customFormat="1" spans="1:12">
      <c r="A26" s="23"/>
      <c r="B26" s="23"/>
      <c r="C26" s="23"/>
      <c r="D26" s="18" t="s">
        <v>36</v>
      </c>
      <c r="E26" s="15" t="s">
        <v>34</v>
      </c>
      <c r="F26" s="15">
        <v>1520</v>
      </c>
      <c r="G26" s="19">
        <v>1</v>
      </c>
      <c r="H26" s="20">
        <f t="shared" si="0"/>
        <v>1520</v>
      </c>
      <c r="I26" s="24"/>
      <c r="J26" s="25"/>
      <c r="K26" s="16"/>
      <c r="L26" s="2"/>
    </row>
    <row r="27" s="1" customFormat="1" spans="1:12">
      <c r="A27" s="26"/>
      <c r="B27" s="23"/>
      <c r="C27" s="23"/>
      <c r="D27" s="18" t="s">
        <v>37</v>
      </c>
      <c r="E27" s="15" t="s">
        <v>34</v>
      </c>
      <c r="F27" s="15">
        <v>1520</v>
      </c>
      <c r="G27" s="19">
        <v>1</v>
      </c>
      <c r="H27" s="20">
        <f t="shared" si="0"/>
        <v>1520</v>
      </c>
      <c r="I27" s="24"/>
      <c r="J27" s="25"/>
      <c r="K27" s="16"/>
      <c r="L27" s="2"/>
    </row>
    <row r="28" s="1" customFormat="1" spans="1:12">
      <c r="A28" s="17" t="s">
        <v>38</v>
      </c>
      <c r="B28" s="23"/>
      <c r="C28" s="23"/>
      <c r="D28" s="18" t="s">
        <v>33</v>
      </c>
      <c r="E28" s="15" t="s">
        <v>34</v>
      </c>
      <c r="F28" s="15">
        <v>3040</v>
      </c>
      <c r="G28" s="19">
        <v>0.6</v>
      </c>
      <c r="H28" s="20">
        <f t="shared" si="0"/>
        <v>1824</v>
      </c>
      <c r="I28" s="24"/>
      <c r="J28" s="25"/>
      <c r="K28" s="16"/>
      <c r="L28" s="2"/>
    </row>
    <row r="29" s="1" customFormat="1" spans="1:12">
      <c r="A29" s="23"/>
      <c r="B29" s="23"/>
      <c r="C29" s="23"/>
      <c r="D29" s="18" t="s">
        <v>36</v>
      </c>
      <c r="E29" s="15" t="s">
        <v>34</v>
      </c>
      <c r="F29" s="27">
        <v>3040</v>
      </c>
      <c r="G29" s="19">
        <v>0.6</v>
      </c>
      <c r="H29" s="20">
        <f t="shared" si="0"/>
        <v>1824</v>
      </c>
      <c r="I29" s="24"/>
      <c r="J29" s="25"/>
      <c r="K29" s="16"/>
      <c r="L29" s="2"/>
    </row>
    <row r="30" s="1" customFormat="1" spans="1:12">
      <c r="A30" s="26"/>
      <c r="B30" s="26"/>
      <c r="C30" s="26"/>
      <c r="D30" s="18" t="s">
        <v>37</v>
      </c>
      <c r="E30" s="15" t="s">
        <v>34</v>
      </c>
      <c r="F30" s="27">
        <v>3040</v>
      </c>
      <c r="G30" s="19">
        <v>0.6</v>
      </c>
      <c r="H30" s="20">
        <f t="shared" si="0"/>
        <v>1824</v>
      </c>
      <c r="I30" s="24"/>
      <c r="J30" s="25"/>
      <c r="K30" s="16"/>
      <c r="L30" s="2"/>
    </row>
    <row r="31" s="1" customFormat="1" spans="1:12">
      <c r="A31" s="28" t="s">
        <v>39</v>
      </c>
      <c r="B31" s="15"/>
      <c r="C31" s="15"/>
      <c r="D31" s="18" t="s">
        <v>33</v>
      </c>
      <c r="E31" s="15" t="s">
        <v>40</v>
      </c>
      <c r="F31" s="29">
        <v>2500</v>
      </c>
      <c r="G31" s="19">
        <v>0.35</v>
      </c>
      <c r="H31" s="20">
        <f t="shared" si="0"/>
        <v>875</v>
      </c>
      <c r="I31" s="24"/>
      <c r="J31" s="25"/>
      <c r="K31" s="16"/>
      <c r="L31" s="2"/>
    </row>
    <row r="32" s="1" customFormat="1" spans="1:12">
      <c r="A32" s="30"/>
      <c r="B32" s="15"/>
      <c r="C32" s="15"/>
      <c r="D32" s="18" t="s">
        <v>36</v>
      </c>
      <c r="E32" s="15" t="s">
        <v>40</v>
      </c>
      <c r="F32" s="31">
        <v>2500</v>
      </c>
      <c r="G32" s="19">
        <v>0.35</v>
      </c>
      <c r="H32" s="20">
        <f t="shared" si="0"/>
        <v>875</v>
      </c>
      <c r="I32" s="24"/>
      <c r="J32" s="25"/>
      <c r="K32" s="16"/>
      <c r="L32" s="2"/>
    </row>
    <row r="33" s="1" customFormat="1" spans="1:12">
      <c r="A33" s="32"/>
      <c r="B33" s="15"/>
      <c r="C33" s="15"/>
      <c r="D33" s="18" t="s">
        <v>37</v>
      </c>
      <c r="E33" s="15" t="s">
        <v>40</v>
      </c>
      <c r="F33" s="31">
        <v>2500</v>
      </c>
      <c r="G33" s="19">
        <v>0.35</v>
      </c>
      <c r="H33" s="20">
        <f t="shared" si="0"/>
        <v>875</v>
      </c>
      <c r="I33" s="24"/>
      <c r="J33" s="25"/>
      <c r="K33" s="16"/>
      <c r="L33" s="2"/>
    </row>
    <row r="34" s="1" customFormat="1" spans="1:12">
      <c r="A34" s="28" t="s">
        <v>41</v>
      </c>
      <c r="B34" s="15"/>
      <c r="C34" s="15"/>
      <c r="D34" s="18" t="s">
        <v>33</v>
      </c>
      <c r="E34" s="15" t="s">
        <v>42</v>
      </c>
      <c r="F34" s="15">
        <v>1520</v>
      </c>
      <c r="G34" s="19">
        <v>0.3</v>
      </c>
      <c r="H34" s="20">
        <f t="shared" si="0"/>
        <v>456</v>
      </c>
      <c r="I34" s="24"/>
      <c r="J34" s="25"/>
      <c r="K34" s="16"/>
      <c r="L34" s="2"/>
    </row>
    <row r="35" s="1" customFormat="1" spans="1:12">
      <c r="A35" s="30"/>
      <c r="B35" s="15"/>
      <c r="C35" s="15"/>
      <c r="D35" s="18" t="s">
        <v>36</v>
      </c>
      <c r="E35" s="15" t="s">
        <v>42</v>
      </c>
      <c r="F35" s="15">
        <v>1520</v>
      </c>
      <c r="G35" s="19">
        <v>0.3</v>
      </c>
      <c r="H35" s="20">
        <f t="shared" si="0"/>
        <v>456</v>
      </c>
      <c r="I35" s="24"/>
      <c r="J35" s="25"/>
      <c r="K35" s="16"/>
      <c r="L35" s="2"/>
    </row>
    <row r="36" s="1" customFormat="1" spans="1:12">
      <c r="A36" s="32"/>
      <c r="B36" s="15"/>
      <c r="C36" s="15"/>
      <c r="D36" s="18" t="s">
        <v>37</v>
      </c>
      <c r="E36" s="15" t="s">
        <v>42</v>
      </c>
      <c r="F36" s="15">
        <v>1520</v>
      </c>
      <c r="G36" s="19">
        <v>0.3</v>
      </c>
      <c r="H36" s="20">
        <f t="shared" si="0"/>
        <v>456</v>
      </c>
      <c r="I36" s="33"/>
      <c r="J36" s="25"/>
      <c r="K36" s="16"/>
      <c r="L36" s="2"/>
    </row>
    <row r="37" s="1" customFormat="1" spans="1:12">
      <c r="A37" s="17" t="s">
        <v>30</v>
      </c>
      <c r="B37" s="17" t="s">
        <v>31</v>
      </c>
      <c r="C37" s="17" t="s">
        <v>32</v>
      </c>
      <c r="D37" s="18" t="s">
        <v>33</v>
      </c>
      <c r="E37" s="15" t="s">
        <v>34</v>
      </c>
      <c r="F37" s="15">
        <v>1530</v>
      </c>
      <c r="G37" s="19">
        <v>1</v>
      </c>
      <c r="H37" s="20">
        <f t="shared" si="0"/>
        <v>1530</v>
      </c>
      <c r="I37" s="21" t="s">
        <v>43</v>
      </c>
      <c r="J37" s="25"/>
      <c r="K37" s="16"/>
      <c r="L37" s="2"/>
    </row>
    <row r="38" s="1" customFormat="1" spans="1:12">
      <c r="A38" s="23"/>
      <c r="B38" s="23"/>
      <c r="C38" s="23"/>
      <c r="D38" s="18" t="s">
        <v>44</v>
      </c>
      <c r="E38" s="15" t="s">
        <v>34</v>
      </c>
      <c r="F38" s="15">
        <v>1530</v>
      </c>
      <c r="G38" s="19">
        <v>1</v>
      </c>
      <c r="H38" s="20">
        <f t="shared" si="0"/>
        <v>1530</v>
      </c>
      <c r="I38" s="24"/>
      <c r="J38" s="25"/>
      <c r="K38" s="16"/>
      <c r="L38" s="2"/>
    </row>
    <row r="39" s="1" customFormat="1" spans="1:12">
      <c r="A39" s="17" t="s">
        <v>38</v>
      </c>
      <c r="B39" s="23"/>
      <c r="C39" s="23"/>
      <c r="D39" s="18" t="s">
        <v>33</v>
      </c>
      <c r="E39" s="15" t="s">
        <v>34</v>
      </c>
      <c r="F39" s="15">
        <v>3060</v>
      </c>
      <c r="G39" s="19">
        <v>0.6</v>
      </c>
      <c r="H39" s="20">
        <f t="shared" si="0"/>
        <v>1836</v>
      </c>
      <c r="I39" s="24"/>
      <c r="J39" s="25"/>
      <c r="K39" s="16"/>
      <c r="L39" s="2"/>
    </row>
    <row r="40" s="1" customFormat="1" spans="1:12">
      <c r="A40" s="23"/>
      <c r="B40" s="23"/>
      <c r="C40" s="23"/>
      <c r="D40" s="18" t="s">
        <v>44</v>
      </c>
      <c r="E40" s="15" t="s">
        <v>34</v>
      </c>
      <c r="F40" s="27">
        <v>3060</v>
      </c>
      <c r="G40" s="19">
        <v>0.6</v>
      </c>
      <c r="H40" s="20">
        <f t="shared" si="0"/>
        <v>1836</v>
      </c>
      <c r="I40" s="24"/>
      <c r="J40" s="25"/>
      <c r="K40" s="16"/>
      <c r="L40" s="2"/>
    </row>
    <row r="41" s="1" customFormat="1" spans="1:12">
      <c r="A41" s="28" t="s">
        <v>39</v>
      </c>
      <c r="B41" s="15"/>
      <c r="C41" s="15"/>
      <c r="D41" s="34" t="s">
        <v>33</v>
      </c>
      <c r="E41" s="15" t="s">
        <v>40</v>
      </c>
      <c r="F41" s="29">
        <v>2600</v>
      </c>
      <c r="G41" s="19">
        <v>0.35</v>
      </c>
      <c r="H41" s="20">
        <f t="shared" si="0"/>
        <v>910</v>
      </c>
      <c r="I41" s="24"/>
      <c r="J41" s="25"/>
      <c r="K41" s="16"/>
      <c r="L41" s="2"/>
    </row>
    <row r="42" s="1" customFormat="1" spans="1:12">
      <c r="A42" s="32"/>
      <c r="B42" s="15"/>
      <c r="C42" s="15"/>
      <c r="D42" s="34" t="s">
        <v>44</v>
      </c>
      <c r="E42" s="15" t="s">
        <v>40</v>
      </c>
      <c r="F42" s="31">
        <v>2600</v>
      </c>
      <c r="G42" s="19">
        <v>0.35</v>
      </c>
      <c r="H42" s="20">
        <f t="shared" si="0"/>
        <v>910</v>
      </c>
      <c r="I42" s="24"/>
      <c r="J42" s="25"/>
      <c r="K42" s="16"/>
      <c r="L42" s="2"/>
    </row>
    <row r="43" s="1" customFormat="1" spans="1:12">
      <c r="A43" s="28" t="s">
        <v>41</v>
      </c>
      <c r="B43" s="15"/>
      <c r="C43" s="15"/>
      <c r="D43" s="34" t="s">
        <v>33</v>
      </c>
      <c r="E43" s="15" t="s">
        <v>42</v>
      </c>
      <c r="F43" s="15">
        <v>1530</v>
      </c>
      <c r="G43" s="19">
        <v>0.3</v>
      </c>
      <c r="H43" s="20">
        <f t="shared" si="0"/>
        <v>459</v>
      </c>
      <c r="I43" s="24"/>
      <c r="J43" s="25"/>
      <c r="K43" s="16"/>
      <c r="L43" s="2"/>
    </row>
    <row r="44" s="1" customFormat="1" spans="1:12">
      <c r="A44" s="32"/>
      <c r="B44" s="15"/>
      <c r="C44" s="15"/>
      <c r="D44" s="34" t="s">
        <v>44</v>
      </c>
      <c r="E44" s="15" t="s">
        <v>42</v>
      </c>
      <c r="F44" s="15">
        <v>1530</v>
      </c>
      <c r="G44" s="19">
        <v>0.3</v>
      </c>
      <c r="H44" s="20">
        <f t="shared" si="0"/>
        <v>459</v>
      </c>
      <c r="I44" s="33"/>
      <c r="J44" s="35"/>
      <c r="K44" s="16"/>
      <c r="L44" s="2"/>
    </row>
    <row r="45" s="1" customFormat="1" spans="1:12">
      <c r="A45" s="36" t="s">
        <v>45</v>
      </c>
      <c r="B45" s="37">
        <f>H45</f>
        <v>23495</v>
      </c>
      <c r="C45" s="37"/>
      <c r="D45" s="37"/>
      <c r="E45" s="37"/>
      <c r="F45" s="38"/>
      <c r="G45" s="38"/>
      <c r="H45" s="20">
        <f>SUM(H25:H44)</f>
        <v>23495</v>
      </c>
      <c r="I45" s="39"/>
      <c r="J45" s="39"/>
      <c r="K45" s="2"/>
      <c r="L45" s="2"/>
    </row>
    <row r="46" s="1" customFormat="1" spans="1:12">
      <c r="A46" s="40"/>
      <c r="B46" s="40"/>
      <c r="C46" s="40"/>
      <c r="D46" s="40"/>
      <c r="E46" s="40"/>
      <c r="F46" s="40"/>
      <c r="G46" s="40"/>
      <c r="H46" s="41"/>
      <c r="I46" s="41"/>
      <c r="J46" s="2"/>
      <c r="K46" s="2"/>
    </row>
    <row r="47" s="1" customFormat="1" ht="29" spans="1:12">
      <c r="A47" s="42" t="s">
        <v>46</v>
      </c>
      <c r="B47" s="43" t="s">
        <v>47</v>
      </c>
      <c r="C47" s="43" t="s">
        <v>48</v>
      </c>
      <c r="D47" s="43" t="s">
        <v>49</v>
      </c>
      <c r="E47" s="43" t="s">
        <v>50</v>
      </c>
      <c r="F47" s="43" t="s">
        <v>51</v>
      </c>
      <c r="G47" s="43" t="s">
        <v>52</v>
      </c>
      <c r="H47" s="44" t="s">
        <v>53</v>
      </c>
    </row>
    <row r="48" s="1" customFormat="1" spans="1:12">
      <c r="A48" s="45" t="s">
        <v>33</v>
      </c>
      <c r="B48" s="46">
        <v>80</v>
      </c>
      <c r="C48" s="46">
        <v>340</v>
      </c>
      <c r="D48" s="46">
        <v>440</v>
      </c>
      <c r="E48" s="46">
        <v>400</v>
      </c>
      <c r="F48" s="46">
        <v>180</v>
      </c>
      <c r="G48" s="46">
        <v>80</v>
      </c>
      <c r="H48" s="47">
        <f t="shared" ref="H48:H50" si="1">SUM(B48:G48)</f>
        <v>1520</v>
      </c>
    </row>
    <row r="49" s="1" customFormat="1" spans="1:12">
      <c r="A49" s="45" t="s">
        <v>37</v>
      </c>
      <c r="B49" s="46">
        <v>80</v>
      </c>
      <c r="C49" s="48">
        <v>340</v>
      </c>
      <c r="D49" s="48">
        <v>440</v>
      </c>
      <c r="E49" s="48">
        <v>400</v>
      </c>
      <c r="F49" s="48">
        <v>180</v>
      </c>
      <c r="G49" s="46">
        <v>80</v>
      </c>
      <c r="H49" s="47">
        <f t="shared" si="1"/>
        <v>1520</v>
      </c>
    </row>
    <row r="50" s="1" customFormat="1" spans="1:12">
      <c r="A50" s="45" t="s">
        <v>36</v>
      </c>
      <c r="B50" s="46">
        <v>80</v>
      </c>
      <c r="C50" s="48">
        <v>340</v>
      </c>
      <c r="D50" s="48">
        <v>440</v>
      </c>
      <c r="E50" s="48">
        <v>400</v>
      </c>
      <c r="F50" s="48">
        <v>180</v>
      </c>
      <c r="G50" s="46">
        <v>80</v>
      </c>
      <c r="H50" s="47">
        <f t="shared" si="1"/>
        <v>1520</v>
      </c>
    </row>
    <row r="51" s="1" customFormat="1" spans="1:12">
      <c r="A51" s="49" t="s">
        <v>54</v>
      </c>
      <c r="B51" s="50">
        <v>64.5</v>
      </c>
      <c r="C51" s="50">
        <v>67</v>
      </c>
      <c r="D51" s="50">
        <v>69</v>
      </c>
      <c r="E51" s="50">
        <v>71</v>
      </c>
      <c r="F51" s="50">
        <v>73.5</v>
      </c>
      <c r="G51" s="50">
        <v>75.5</v>
      </c>
      <c r="H51" s="51" t="s">
        <v>55</v>
      </c>
      <c r="I51" s="52"/>
    </row>
    <row r="52" s="1" customFormat="1" spans="1:12">
      <c r="A52" s="49" t="s">
        <v>56</v>
      </c>
      <c r="B52" s="49">
        <v>19.5</v>
      </c>
      <c r="C52" s="49">
        <v>19.5</v>
      </c>
      <c r="D52" s="49">
        <v>19.5</v>
      </c>
      <c r="E52" s="49">
        <v>20.5</v>
      </c>
      <c r="F52" s="49">
        <v>20.5</v>
      </c>
      <c r="G52" s="49">
        <v>20.5</v>
      </c>
      <c r="H52" s="51" t="s">
        <v>55</v>
      </c>
      <c r="I52" s="52"/>
    </row>
    <row r="53" s="1" customFormat="1" spans="1:12">
      <c r="A53" s="52"/>
      <c r="B53" s="52"/>
      <c r="C53" s="52"/>
      <c r="D53" s="52"/>
      <c r="E53" s="52"/>
      <c r="F53" s="52"/>
      <c r="G53" s="52"/>
      <c r="H53" s="52"/>
      <c r="I53" s="52"/>
    </row>
    <row r="54" s="1" customFormat="1" ht="29" spans="1:12">
      <c r="A54" s="53" t="s">
        <v>57</v>
      </c>
      <c r="B54" s="54" t="s">
        <v>58</v>
      </c>
      <c r="C54" s="54" t="s">
        <v>47</v>
      </c>
      <c r="D54" s="54" t="s">
        <v>48</v>
      </c>
      <c r="E54" s="54" t="s">
        <v>49</v>
      </c>
      <c r="F54" s="54" t="s">
        <v>50</v>
      </c>
      <c r="G54" s="54" t="s">
        <v>51</v>
      </c>
      <c r="H54" s="55" t="s">
        <v>53</v>
      </c>
      <c r="I54" s="52"/>
    </row>
    <row r="55" s="1" customFormat="1" spans="1:12">
      <c r="A55" s="45" t="s">
        <v>59</v>
      </c>
      <c r="B55" s="46">
        <v>160</v>
      </c>
      <c r="C55" s="46">
        <v>300</v>
      </c>
      <c r="D55" s="46">
        <v>480</v>
      </c>
      <c r="E55" s="46">
        <v>320</v>
      </c>
      <c r="F55" s="46">
        <v>220</v>
      </c>
      <c r="G55" s="46">
        <v>50</v>
      </c>
      <c r="H55" s="47">
        <f>SUM(B55:G55)</f>
        <v>1530</v>
      </c>
      <c r="I55" s="52"/>
    </row>
    <row r="56" s="1" customFormat="1" spans="1:12">
      <c r="A56" s="56" t="s">
        <v>60</v>
      </c>
      <c r="B56" s="57">
        <v>160</v>
      </c>
      <c r="C56" s="58">
        <v>300</v>
      </c>
      <c r="D56" s="58">
        <v>480</v>
      </c>
      <c r="E56" s="58">
        <v>320</v>
      </c>
      <c r="F56" s="58">
        <v>220</v>
      </c>
      <c r="G56" s="57">
        <v>50</v>
      </c>
      <c r="H56" s="59">
        <f>SUM(B56:G56)</f>
        <v>1530</v>
      </c>
      <c r="I56" s="52"/>
    </row>
    <row r="57" s="1" customFormat="1" spans="1:12">
      <c r="A57" s="49" t="s">
        <v>54</v>
      </c>
      <c r="B57" s="49">
        <v>63.5</v>
      </c>
      <c r="C57" s="49">
        <v>65.5</v>
      </c>
      <c r="D57" s="49">
        <v>67</v>
      </c>
      <c r="E57" s="49">
        <v>68.5</v>
      </c>
      <c r="F57" s="49">
        <v>70.5</v>
      </c>
      <c r="G57" s="49">
        <v>72</v>
      </c>
      <c r="H57" s="51" t="s">
        <v>55</v>
      </c>
      <c r="I57" s="52"/>
    </row>
    <row r="58" s="1" customFormat="1" spans="1:12">
      <c r="A58" s="49" t="s">
        <v>56</v>
      </c>
      <c r="B58" s="49">
        <v>18</v>
      </c>
      <c r="C58" s="49">
        <v>18</v>
      </c>
      <c r="D58" s="49">
        <v>18</v>
      </c>
      <c r="E58" s="49">
        <v>19</v>
      </c>
      <c r="F58" s="49">
        <v>19</v>
      </c>
      <c r="G58" s="49">
        <v>19</v>
      </c>
      <c r="H58" s="51" t="s">
        <v>55</v>
      </c>
      <c r="I58" s="52"/>
    </row>
    <row r="59" s="1" customFormat="1" spans="1:12">
      <c r="A59" s="52"/>
      <c r="B59" s="52"/>
      <c r="C59" s="52"/>
      <c r="D59" s="52"/>
      <c r="E59" s="52"/>
      <c r="F59" s="52"/>
      <c r="G59" s="52"/>
      <c r="H59" s="52"/>
      <c r="I59" s="52"/>
    </row>
    <row r="60" s="1" customFormat="1" ht="22.5" spans="1:12">
      <c r="A60" s="60" t="s">
        <v>61</v>
      </c>
      <c r="B60" s="40"/>
      <c r="C60" s="40"/>
      <c r="D60" s="40"/>
      <c r="E60" s="40"/>
      <c r="F60" s="40"/>
      <c r="G60" s="40"/>
      <c r="H60" s="40"/>
      <c r="I60" s="41"/>
      <c r="J60" s="41"/>
      <c r="K60" s="2"/>
      <c r="L60" s="2"/>
    </row>
    <row r="61" s="1" customFormat="1" spans="1:12">
      <c r="A61" s="14" t="s">
        <v>62</v>
      </c>
      <c r="B61" s="9"/>
      <c r="C61" s="9"/>
      <c r="D61" s="9"/>
      <c r="E61" s="9"/>
      <c r="F61" s="9"/>
      <c r="G61" s="9"/>
      <c r="H61" s="9"/>
      <c r="I61" s="9"/>
      <c r="J61" s="9"/>
      <c r="K61" s="2"/>
      <c r="L61" s="2"/>
    </row>
    <row r="62" s="1" customFormat="1" spans="1:12">
      <c r="A62" s="13" t="s">
        <v>63</v>
      </c>
      <c r="B62" s="9"/>
      <c r="C62" s="9"/>
      <c r="D62" s="9"/>
      <c r="E62" s="9"/>
      <c r="F62" s="9"/>
      <c r="G62" s="9"/>
      <c r="H62" s="9"/>
      <c r="I62" s="9"/>
      <c r="J62" s="9"/>
      <c r="K62" s="2"/>
      <c r="L62" s="2"/>
    </row>
    <row r="63" s="1" customFormat="1" spans="1:12">
      <c r="A63" s="13" t="s">
        <v>64</v>
      </c>
      <c r="B63" s="9"/>
      <c r="C63" s="9"/>
      <c r="D63" s="9"/>
      <c r="E63" s="9"/>
      <c r="F63" s="9"/>
      <c r="G63" s="9"/>
      <c r="H63" s="9"/>
      <c r="I63" s="9"/>
      <c r="J63" s="9"/>
      <c r="K63" s="2"/>
      <c r="L63" s="2"/>
    </row>
    <row r="64" s="1" customFormat="1" spans="1:12">
      <c r="A64" s="13" t="s">
        <v>65</v>
      </c>
      <c r="B64" s="9"/>
      <c r="C64" s="9"/>
      <c r="D64" s="9"/>
      <c r="E64" s="9"/>
      <c r="F64" s="9"/>
      <c r="G64" s="9"/>
      <c r="H64" s="9"/>
      <c r="I64" s="9"/>
      <c r="J64" s="9"/>
      <c r="K64" s="2"/>
      <c r="L64" s="2"/>
    </row>
    <row r="65" s="1" customFormat="1" spans="1:12">
      <c r="A65" s="13" t="s">
        <v>66</v>
      </c>
      <c r="B65" s="9"/>
      <c r="C65" s="9"/>
      <c r="D65" s="9"/>
      <c r="E65" s="9"/>
      <c r="F65" s="9"/>
      <c r="G65" s="9"/>
      <c r="H65" s="9"/>
      <c r="I65" s="9"/>
      <c r="J65" s="9"/>
      <c r="K65" s="2"/>
      <c r="L65" s="2"/>
    </row>
    <row r="66" s="1" customFormat="1" spans="1:12">
      <c r="A66" s="13" t="s">
        <v>67</v>
      </c>
      <c r="B66" s="9"/>
      <c r="C66" s="9"/>
      <c r="D66" s="9"/>
      <c r="E66" s="9"/>
      <c r="F66" s="9"/>
      <c r="G66" s="9"/>
      <c r="H66" s="9"/>
      <c r="I66" s="9"/>
      <c r="J66" s="9"/>
      <c r="K66" s="2"/>
      <c r="L66" s="2"/>
    </row>
    <row r="67" s="1" customFormat="1" spans="1:12">
      <c r="A67" s="13" t="s">
        <v>68</v>
      </c>
      <c r="B67" s="9"/>
      <c r="C67" s="9"/>
      <c r="D67" s="9"/>
      <c r="E67" s="9"/>
      <c r="F67" s="9"/>
      <c r="G67" s="9"/>
      <c r="H67" s="9"/>
      <c r="I67" s="9"/>
      <c r="J67" s="9"/>
      <c r="K67" s="2"/>
      <c r="L67" s="2"/>
    </row>
    <row r="68" s="1" customFormat="1" spans="1:12">
      <c r="A68" s="14" t="s">
        <v>69</v>
      </c>
      <c r="B68" s="9"/>
      <c r="C68" s="9"/>
      <c r="D68" s="9"/>
      <c r="E68" s="9"/>
      <c r="F68" s="9"/>
      <c r="G68" s="9"/>
      <c r="H68" s="9"/>
      <c r="I68" s="9"/>
      <c r="J68" s="9"/>
      <c r="K68" s="2"/>
      <c r="L68" s="2"/>
    </row>
    <row r="69" s="1" customFormat="1" spans="1:12">
      <c r="A69" s="13" t="s">
        <v>70</v>
      </c>
      <c r="B69" s="9"/>
      <c r="C69" s="9"/>
      <c r="D69" s="9"/>
      <c r="E69" s="9"/>
      <c r="F69" s="9"/>
      <c r="G69" s="9"/>
      <c r="H69" s="9"/>
      <c r="I69" s="9"/>
      <c r="J69" s="9"/>
      <c r="K69" s="2"/>
      <c r="L69" s="2"/>
    </row>
    <row r="70" s="1" customFormat="1" spans="1:12">
      <c r="A70" s="13" t="s">
        <v>71</v>
      </c>
      <c r="B70" s="9"/>
      <c r="C70" s="9"/>
      <c r="D70" s="9"/>
      <c r="E70" s="9"/>
      <c r="F70" s="9"/>
      <c r="G70" s="9"/>
      <c r="H70" s="9"/>
      <c r="I70" s="9"/>
      <c r="J70" s="9"/>
      <c r="K70" s="2"/>
      <c r="L70" s="2"/>
    </row>
    <row r="71" s="1" customFormat="1" spans="1:12">
      <c r="A71" s="13" t="s">
        <v>72</v>
      </c>
      <c r="B71" s="9"/>
      <c r="C71" s="9"/>
      <c r="D71" s="9"/>
      <c r="E71" s="9"/>
      <c r="F71" s="9"/>
      <c r="G71" s="9"/>
      <c r="H71" s="9"/>
      <c r="I71" s="9"/>
      <c r="J71" s="9"/>
      <c r="K71" s="2"/>
      <c r="L71" s="2"/>
    </row>
    <row r="72" s="1" customFormat="1" spans="1:12">
      <c r="A72" s="14" t="s">
        <v>73</v>
      </c>
      <c r="B72" s="9"/>
      <c r="C72" s="9"/>
      <c r="D72" s="9"/>
      <c r="E72" s="9"/>
      <c r="F72" s="9"/>
      <c r="G72" s="9"/>
      <c r="H72" s="9"/>
      <c r="I72" s="9"/>
      <c r="J72" s="9"/>
      <c r="K72" s="2"/>
      <c r="L72" s="2"/>
    </row>
    <row r="73" s="1" customFormat="1" spans="1:12">
      <c r="A73" s="13" t="s">
        <v>74</v>
      </c>
      <c r="B73" s="9"/>
      <c r="C73" s="9"/>
      <c r="D73" s="9"/>
      <c r="E73" s="9"/>
      <c r="F73" s="9"/>
      <c r="G73" s="9"/>
      <c r="H73" s="9"/>
      <c r="I73" s="9"/>
      <c r="J73" s="9"/>
      <c r="K73" s="2"/>
      <c r="L73" s="2"/>
    </row>
    <row r="74" s="1" customFormat="1" spans="1:12">
      <c r="A74" s="13" t="s">
        <v>75</v>
      </c>
      <c r="B74" s="9"/>
      <c r="C74" s="9"/>
      <c r="D74" s="9"/>
      <c r="E74" s="9"/>
      <c r="F74" s="9"/>
      <c r="G74" s="9"/>
      <c r="H74" s="9"/>
      <c r="I74" s="9"/>
      <c r="J74" s="9"/>
      <c r="K74" s="2"/>
      <c r="L74" s="2"/>
    </row>
    <row r="75" s="1" customFormat="1" spans="1:12">
      <c r="A75" s="14" t="s">
        <v>76</v>
      </c>
      <c r="B75" s="9"/>
      <c r="C75" s="9"/>
      <c r="D75" s="9"/>
      <c r="E75" s="9"/>
      <c r="F75" s="9"/>
      <c r="G75" s="9"/>
      <c r="H75" s="9"/>
      <c r="I75" s="9"/>
      <c r="J75" s="9"/>
      <c r="K75" s="2"/>
      <c r="L75" s="2"/>
    </row>
    <row r="76" s="1" customFormat="1" spans="1:12">
      <c r="A76" s="61" t="s">
        <v>77</v>
      </c>
      <c r="B76" s="9"/>
      <c r="C76" s="9"/>
      <c r="D76" s="9"/>
      <c r="E76" s="9"/>
      <c r="F76" s="9"/>
      <c r="G76" s="9"/>
      <c r="H76" s="9"/>
      <c r="I76" s="9"/>
      <c r="J76" s="9"/>
      <c r="K76" s="2"/>
      <c r="L76" s="2"/>
    </row>
    <row r="77" s="1" customFormat="1" spans="1:12">
      <c r="A77" s="62" t="s">
        <v>78</v>
      </c>
      <c r="B77" s="9"/>
      <c r="C77" s="9"/>
      <c r="D77" s="9"/>
      <c r="E77" s="9"/>
      <c r="F77" s="9"/>
      <c r="G77" s="9"/>
      <c r="H77" s="9"/>
      <c r="I77" s="9"/>
      <c r="J77" s="9"/>
      <c r="K77" s="2"/>
      <c r="L77" s="2"/>
    </row>
    <row r="78" s="1" customFormat="1" spans="1:12">
      <c r="A78" s="13" t="s">
        <v>79</v>
      </c>
      <c r="B78" s="9"/>
      <c r="C78" s="9"/>
      <c r="D78" s="9"/>
      <c r="E78" s="9"/>
      <c r="F78" s="9"/>
      <c r="G78" s="9"/>
      <c r="H78" s="9"/>
      <c r="I78" s="9"/>
      <c r="J78" s="9"/>
      <c r="K78" s="2"/>
      <c r="L78" s="2"/>
    </row>
    <row r="79" s="1" customFormat="1" spans="1:12">
      <c r="A79" s="13" t="s">
        <v>80</v>
      </c>
      <c r="B79" s="9"/>
      <c r="C79" s="9"/>
      <c r="D79" s="9"/>
      <c r="E79" s="9"/>
      <c r="F79" s="9"/>
      <c r="G79" s="9"/>
      <c r="H79" s="9"/>
      <c r="I79" s="9"/>
      <c r="J79" s="9"/>
      <c r="K79" s="2"/>
      <c r="L79" s="2"/>
    </row>
    <row r="80" s="1" customFormat="1" spans="1:12">
      <c r="A80" s="13" t="s">
        <v>81</v>
      </c>
      <c r="B80" s="9"/>
      <c r="C80" s="9"/>
      <c r="D80" s="9"/>
      <c r="E80" s="9"/>
      <c r="F80" s="9"/>
      <c r="G80" s="9"/>
      <c r="H80" s="9"/>
      <c r="I80" s="9"/>
      <c r="J80" s="9"/>
      <c r="K80" s="2"/>
      <c r="L80" s="2"/>
    </row>
    <row r="81" s="1" customFormat="1" spans="1:12">
      <c r="A81" s="13" t="s">
        <v>82</v>
      </c>
      <c r="B81" s="9"/>
      <c r="C81" s="9"/>
      <c r="D81" s="9"/>
      <c r="E81" s="9"/>
      <c r="F81" s="9"/>
      <c r="G81" s="9"/>
      <c r="H81" s="9"/>
      <c r="I81" s="9"/>
      <c r="J81" s="9"/>
      <c r="K81" s="2"/>
      <c r="L81" s="2"/>
    </row>
    <row r="82" s="1" customFormat="1" spans="1:12">
      <c r="A82" s="14" t="s">
        <v>83</v>
      </c>
      <c r="B82" s="9"/>
      <c r="C82" s="9"/>
      <c r="D82" s="9"/>
      <c r="E82" s="9"/>
      <c r="F82" s="9"/>
      <c r="G82" s="9"/>
      <c r="H82" s="9"/>
      <c r="I82" s="9"/>
      <c r="J82" s="9"/>
      <c r="K82" s="2"/>
      <c r="L82" s="2"/>
    </row>
    <row r="83" s="1" customFormat="1" spans="1:12">
      <c r="A83" s="13" t="s">
        <v>84</v>
      </c>
      <c r="B83" s="9"/>
      <c r="C83" s="9"/>
      <c r="D83" s="9"/>
      <c r="E83" s="9"/>
      <c r="F83" s="9"/>
      <c r="G83" s="9"/>
      <c r="H83" s="9"/>
      <c r="I83" s="9"/>
      <c r="J83" s="9"/>
      <c r="K83" s="2"/>
      <c r="L83" s="2"/>
    </row>
    <row r="84" s="3" customFormat="1" ht="14.5" spans="1:12">
      <c r="A84" s="63" t="s">
        <v>85</v>
      </c>
      <c r="B84" s="64"/>
      <c r="C84" s="64"/>
      <c r="D84" s="64"/>
      <c r="E84" s="64"/>
      <c r="F84" s="64"/>
      <c r="G84" s="64"/>
      <c r="H84" s="64"/>
      <c r="I84" s="64"/>
    </row>
    <row r="85" s="2" customFormat="1" spans="1:12">
      <c r="A85" s="11" t="s">
        <v>86</v>
      </c>
      <c r="B85" s="12"/>
      <c r="C85" s="12"/>
      <c r="D85" s="12"/>
      <c r="E85" s="12"/>
      <c r="F85" s="12"/>
      <c r="G85" s="12"/>
      <c r="H85" s="12"/>
    </row>
    <row r="86" s="2" customFormat="1" spans="1:12">
      <c r="A86" s="11" t="s">
        <v>87</v>
      </c>
      <c r="B86" s="12"/>
      <c r="C86" s="12"/>
      <c r="D86" s="12"/>
      <c r="E86" s="12"/>
      <c r="F86" s="12"/>
      <c r="G86" s="12"/>
      <c r="H86" s="12"/>
    </row>
    <row r="87" s="2" customFormat="1" spans="1:12">
      <c r="A87" s="11" t="s">
        <v>88</v>
      </c>
      <c r="B87" s="12"/>
      <c r="C87" s="12"/>
      <c r="D87" s="12"/>
      <c r="E87" s="12"/>
      <c r="F87" s="12"/>
      <c r="G87" s="12"/>
      <c r="H87" s="12"/>
    </row>
    <row r="88" s="2" customFormat="1" spans="1:12">
      <c r="A88" s="11" t="s">
        <v>89</v>
      </c>
      <c r="B88" s="12"/>
      <c r="C88" s="12"/>
      <c r="D88" s="12"/>
      <c r="E88" s="65"/>
      <c r="F88" s="12"/>
      <c r="G88" s="12"/>
      <c r="H88" s="12"/>
    </row>
    <row r="89" s="1" customFormat="1" spans="1:12">
      <c r="A89" s="10" t="s">
        <v>90</v>
      </c>
      <c r="B89" s="9"/>
      <c r="C89" s="9"/>
      <c r="D89" s="9"/>
      <c r="E89" s="9"/>
      <c r="F89" s="9"/>
      <c r="G89" s="9"/>
      <c r="H89" s="9"/>
      <c r="I89" s="9"/>
      <c r="J89" s="9"/>
      <c r="K89" s="2"/>
      <c r="L89" s="2"/>
    </row>
    <row r="90" s="1" customFormat="1" spans="1:12">
      <c r="A90" s="10" t="s">
        <v>91</v>
      </c>
      <c r="B90" s="9"/>
      <c r="C90" s="9"/>
      <c r="D90" s="9"/>
      <c r="E90" s="9"/>
      <c r="F90" s="9"/>
      <c r="G90" s="9"/>
      <c r="H90" s="9"/>
      <c r="I90" s="9"/>
      <c r="J90" s="9"/>
      <c r="K90" s="2"/>
      <c r="L90" s="2"/>
    </row>
    <row r="91" s="1" customFormat="1" spans="1:12">
      <c r="A91" s="13" t="s">
        <v>92</v>
      </c>
      <c r="B91" s="9"/>
      <c r="C91" s="9"/>
      <c r="D91" s="9"/>
      <c r="E91" s="9"/>
      <c r="F91" s="9"/>
      <c r="G91" s="9"/>
      <c r="H91" s="9"/>
      <c r="I91" s="9"/>
      <c r="J91" s="9"/>
      <c r="K91" s="2"/>
      <c r="L91" s="2"/>
    </row>
    <row r="92" s="1" customFormat="1" spans="1:12">
      <c r="A92" s="10"/>
      <c r="B92" s="9"/>
      <c r="C92" s="9"/>
      <c r="D92" s="9"/>
      <c r="E92" s="9"/>
      <c r="F92" s="9"/>
      <c r="G92" s="9"/>
      <c r="H92" s="9"/>
      <c r="I92" s="9"/>
      <c r="J92" s="9"/>
      <c r="K92" s="2"/>
      <c r="L92" s="2"/>
    </row>
    <row r="93" s="1" customFormat="1" spans="1:12">
      <c r="A93" s="10" t="s">
        <v>93</v>
      </c>
      <c r="B93" s="9"/>
      <c r="C93" s="9"/>
      <c r="D93" s="9"/>
      <c r="E93" s="9"/>
      <c r="F93" s="9"/>
      <c r="G93" s="9"/>
      <c r="H93" s="9"/>
      <c r="I93" s="9"/>
      <c r="J93" s="9"/>
      <c r="K93" s="2"/>
      <c r="L93" s="2"/>
    </row>
  </sheetData>
  <mergeCells count="19">
    <mergeCell ref="A1:J1"/>
    <mergeCell ref="A2:J2"/>
    <mergeCell ref="B45:E45"/>
    <mergeCell ref="I45:J45"/>
    <mergeCell ref="A25:A27"/>
    <mergeCell ref="A28:A30"/>
    <mergeCell ref="A31:A33"/>
    <mergeCell ref="A34:A36"/>
    <mergeCell ref="A37:A38"/>
    <mergeCell ref="A39:A40"/>
    <mergeCell ref="A41:A42"/>
    <mergeCell ref="A43:A44"/>
    <mergeCell ref="B25:B30"/>
    <mergeCell ref="B37:B40"/>
    <mergeCell ref="C25:C30"/>
    <mergeCell ref="C37:C40"/>
    <mergeCell ref="I25:I36"/>
    <mergeCell ref="I37:I44"/>
    <mergeCell ref="J25:J44"/>
  </mergeCells>
  <pageMargins left="0.75" right="0.75" top="1" bottom="1" header="0.5" footer="0.5"/>
  <pageSetup paperSize="9" scale="4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拉链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dtdtt</dc:creator>
  <cp:lastModifiedBy>JXH</cp:lastModifiedBy>
  <dcterms:created xsi:type="dcterms:W3CDTF">2026-04-30T02:54:14Z</dcterms:created>
  <dcterms:modified xsi:type="dcterms:W3CDTF">2026-04-30T02:54:30Z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A2AEFA2F70DA4D068A2B3DB319AAACB7_11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